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" sheetId="1" state="visible" r:id="rId1"/>
    <sheet name="Project_Master" sheetId="2" state="visible" r:id="rId2"/>
    <sheet name="Project_Schedule" sheetId="3" state="visible" r:id="rId3"/>
    <sheet name="Resource_Input" sheetId="4" state="visible" r:id="rId4"/>
    <sheet name="Progress_Input" sheetId="5" state="visible" r:id="rId5"/>
    <sheet name="General_Resource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left" vertical="center"/>
    </xf>
    <xf numFmtId="0" fontId="2" fillId="3" borderId="0" pivotButton="0" quotePrefix="0" xfId="0"/>
    <xf numFmtId="164" fontId="0" fillId="0" borderId="0" pivotButton="0" quotePrefix="0" xfId="0"/>
    <xf numFmtId="0" fontId="0" fillId="6" borderId="0" applyAlignment="1" pivotButton="0" quotePrefix="0" xfId="0">
      <alignment wrapText="1"/>
    </xf>
    <xf numFmtId="0" fontId="0" fillId="0" borderId="1" pivotButton="0" quotePrefix="0" xfId="0"/>
    <xf numFmtId="0" fontId="0" fillId="4" borderId="0" pivotButton="0" quotePrefix="0" xfId="0"/>
    <xf numFmtId="0" fontId="0" fillId="5" borderId="0" pivotButton="0" quotePrefix="0" xfId="0"/>
    <xf numFmtId="9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KPI Snapshot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'Dashboard'!$A$5:$A$7</f>
            </numRef>
          </cat>
          <val>
            <numRef>
              <f>'Dashboard'!$B$5:$B$7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 vs Normal</a:t>
            </a:r>
          </a:p>
        </rich>
      </tx>
    </title>
    <plotArea>
      <pieChart>
        <varyColors val="1"/>
        <ser>
          <idx val="0"/>
          <order val="0"/>
          <tx>
            <strRef>
              <f>'Dashboard'!I4</f>
            </strRef>
          </tx>
          <spPr>
            <a:ln>
              <a:prstDash val="solid"/>
            </a:ln>
          </spPr>
          <cat>
            <numRef>
              <f>'Dashboard'!$H$5:$H$6</f>
            </numRef>
          </cat>
          <val>
            <numRef>
              <f>'Dashboard'!$I$5:$I$6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mployeeMaster" displayName="tblEmployeeMaster" ref="A1:G4" headerRowCount="1">
  <autoFilter ref="A1:G4"/>
  <tableColumns count="7">
    <tableColumn id="1" name="employee_id"/>
    <tableColumn id="2" name="employee_name"/>
    <tableColumn id="3" name="department"/>
    <tableColumn id="4" name="role_name"/>
    <tableColumn id="5" name="daily_capacity_hours"/>
    <tableColumn id="6" name="skill_group"/>
    <tableColumn id="7" name="active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jectMaster" displayName="tblProjectMaster" ref="A1:I4" headerRowCount="1">
  <autoFilter ref="A1:I4"/>
  <tableColumns count="9">
    <tableColumn id="1" name="project_id"/>
    <tableColumn id="2" name="project_name"/>
    <tableColumn id="3" name="customer_name"/>
    <tableColumn id="4" name="project_manager_id"/>
    <tableColumn id="5" name="start_date"/>
    <tableColumn id="6" name="end_date"/>
    <tableColumn id="7" name="status"/>
    <tableColumn id="8" name="priority"/>
    <tableColumn id="9" name="planned_total_hou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jectSchedule" displayName="tblProjectSchedule" ref="A1:H6" headerRowCount="1">
  <autoFilter ref="A1:H6"/>
  <tableColumns count="8">
    <tableColumn id="1" name="schedule_id"/>
    <tableColumn id="2" name="project_id"/>
    <tableColumn id="3" name="task_name"/>
    <tableColumn id="4" name="responsible_employee_id"/>
    <tableColumn id="5" name="schedule_date"/>
    <tableColumn id="6" name="planned_hours"/>
    <tableColumn id="7" name="schedule_status"/>
    <tableColumn id="8" name="progress_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sourceInput" displayName="tblResourceInput" ref="A1:J6" headerRowCount="1">
  <autoFilter ref="A1:J6"/>
  <tableColumns count="10">
    <tableColumn id="1" name="entry_id"/>
    <tableColumn id="2" name="employee_id"/>
    <tableColumn id="3" name="work_date"/>
    <tableColumn id="4" name="project_id"/>
    <tableColumn id="5" name="task_name"/>
    <tableColumn id="6" name="planned_hours"/>
    <tableColumn id="7" name="availability_status"/>
    <tableColumn id="8" name="remarks"/>
    <tableColumn id="9" name="source_file"/>
    <tableColumn id="10" name="last_refresh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ogressInput" displayName="tblProgressInput" ref="A1:K4" headerRowCount="1">
  <autoFilter ref="A1:K4"/>
  <tableColumns count="11">
    <tableColumn id="1" name="progress_entry_id"/>
    <tableColumn id="2" name="employee_id"/>
    <tableColumn id="3" name="project_id"/>
    <tableColumn id="4" name="progress_date"/>
    <tableColumn id="5" name="progress_percent"/>
    <tableColumn id="6" name="actual_hours"/>
    <tableColumn id="7" name="progress_status"/>
    <tableColumn id="8" name="issue_flag"/>
    <tableColumn id="9" name="update_comment"/>
    <tableColumn id="10" name="source_file"/>
    <tableColumn id="11" name="last_refresh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GeneralResource" displayName="tblGeneralResource" ref="A1:Q201" headerRowCount="1">
  <autoFilter ref="A1:Q201"/>
  <tableColumns count="17">
    <tableColumn id="1" name="resource_row_id"/>
    <tableColumn id="2" name="employee_id"/>
    <tableColumn id="3" name="employee_name"/>
    <tableColumn id="4" name="department"/>
    <tableColumn id="5" name="work_date"/>
    <tableColumn id="6" name="project_id"/>
    <tableColumn id="7" name="project_name"/>
    <tableColumn id="8" name="task_name"/>
    <tableColumn id="9" name="planned_hours"/>
    <tableColumn id="10" name="daily_capacity_hours"/>
    <tableColumn id="11" name="total_daily_hours"/>
    <tableColumn id="12" name="utilization_rate"/>
    <tableColumn id="13" name="overload_flag"/>
    <tableColumn id="14" name="available_hours"/>
    <tableColumn id="15" name="progress_percent"/>
    <tableColumn id="16" name="progress_status"/>
    <tableColumn id="17" name="issue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  <col width="22" customWidth="1" min="5" max="5"/>
    <col width="13" customWidth="1" min="6" max="6"/>
    <col width="13" customWidth="1" min="7" max="7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role_name</t>
        </is>
      </c>
      <c r="E1" s="1" t="inlineStr">
        <is>
          <t>daily_capacity_hours</t>
        </is>
      </c>
      <c r="F1" s="1" t="inlineStr">
        <is>
          <t>skill_group</t>
        </is>
      </c>
      <c r="G1" s="1" t="inlineStr">
        <is>
          <t>active_flag</t>
        </is>
      </c>
    </row>
    <row r="2">
      <c r="A2" s="2" t="inlineStr">
        <is>
          <t>EMP-001</t>
        </is>
      </c>
      <c r="B2" s="2" t="inlineStr">
        <is>
          <t>山田 太郎</t>
        </is>
      </c>
      <c r="C2" s="2" t="inlineStr">
        <is>
          <t>Construction</t>
        </is>
      </c>
      <c r="D2" s="2" t="inlineStr">
        <is>
          <t>Site Lead</t>
        </is>
      </c>
      <c r="E2" s="2" t="n">
        <v>8</v>
      </c>
      <c r="F2" s="2" t="inlineStr">
        <is>
          <t>Security</t>
        </is>
      </c>
      <c r="G2" s="2" t="inlineStr">
        <is>
          <t>Y</t>
        </is>
      </c>
    </row>
    <row r="3">
      <c r="A3" s="2" t="inlineStr">
        <is>
          <t>EMP-002</t>
        </is>
      </c>
      <c r="B3" s="2" t="inlineStr">
        <is>
          <t>佐藤 花子</t>
        </is>
      </c>
      <c r="C3" s="2" t="inlineStr">
        <is>
          <t>Construction</t>
        </is>
      </c>
      <c r="D3" s="2" t="inlineStr">
        <is>
          <t>Technician</t>
        </is>
      </c>
      <c r="E3" s="2" t="n">
        <v>8</v>
      </c>
      <c r="F3" s="2" t="inlineStr">
        <is>
          <t>Security</t>
        </is>
      </c>
      <c r="G3" s="2" t="inlineStr">
        <is>
          <t>Y</t>
        </is>
      </c>
    </row>
    <row r="4">
      <c r="A4" s="2" t="inlineStr">
        <is>
          <t>EMP-003</t>
        </is>
      </c>
      <c r="B4" s="2" t="inlineStr">
        <is>
          <t>鈴木 一郎</t>
        </is>
      </c>
      <c r="C4" s="2" t="inlineStr">
        <is>
          <t>Engineering</t>
        </is>
      </c>
      <c r="D4" s="2" t="inlineStr">
        <is>
          <t>Planner</t>
        </is>
      </c>
      <c r="E4" s="2" t="n">
        <v>8</v>
      </c>
      <c r="F4" s="2" t="inlineStr">
        <is>
          <t>Planning</t>
        </is>
      </c>
      <c r="G4" s="2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customer_name</t>
        </is>
      </c>
      <c r="D1" s="1" t="inlineStr">
        <is>
          <t>project_manager_id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planned_total_hours</t>
        </is>
      </c>
    </row>
    <row r="2">
      <c r="A2" s="2" t="inlineStr">
        <is>
          <t>PRJ-001</t>
        </is>
      </c>
      <c r="B2" s="2" t="inlineStr">
        <is>
          <t>本社入退室更新</t>
        </is>
      </c>
      <c r="C2" s="2" t="inlineStr">
        <is>
          <t>Alpha Facilities</t>
        </is>
      </c>
      <c r="D2" s="2" t="inlineStr">
        <is>
          <t>EMP-001</t>
        </is>
      </c>
      <c r="E2" s="3" t="n">
        <v>46266</v>
      </c>
      <c r="F2" s="3" t="n">
        <v>46295</v>
      </c>
      <c r="G2" s="2" t="inlineStr">
        <is>
          <t>DRAFT</t>
        </is>
      </c>
      <c r="H2" s="2" t="inlineStr">
        <is>
          <t>High</t>
        </is>
      </c>
      <c r="I2" s="2" t="n">
        <v>120</v>
      </c>
    </row>
    <row r="3">
      <c r="A3" s="2" t="inlineStr">
        <is>
          <t>PRJ-002</t>
        </is>
      </c>
      <c r="B3" s="2" t="inlineStr">
        <is>
          <t>支店監視カメラ更改</t>
        </is>
      </c>
      <c r="C3" s="2" t="inlineStr">
        <is>
          <t>Beta Office</t>
        </is>
      </c>
      <c r="D3" s="2" t="inlineStr">
        <is>
          <t>EMP-002</t>
        </is>
      </c>
      <c r="E3" s="3" t="n">
        <v>46270</v>
      </c>
      <c r="F3" s="3" t="n">
        <v>46305</v>
      </c>
      <c r="G3" s="2" t="inlineStr">
        <is>
          <t>APPROVED</t>
        </is>
      </c>
      <c r="H3" s="2" t="inlineStr">
        <is>
          <t>Medium</t>
        </is>
      </c>
      <c r="I3" s="2" t="n">
        <v>160</v>
      </c>
    </row>
    <row r="4">
      <c r="A4" s="2" t="inlineStr">
        <is>
          <t>PRJ-003</t>
        </is>
      </c>
      <c r="B4" s="2" t="inlineStr">
        <is>
          <t>倉庫制御盤点検</t>
        </is>
      </c>
      <c r="C4" s="2" t="inlineStr">
        <is>
          <t>Gamma Logistics</t>
        </is>
      </c>
      <c r="D4" s="2" t="inlineStr">
        <is>
          <t>EMP-003</t>
        </is>
      </c>
      <c r="E4" s="3" t="n">
        <v>46273</v>
      </c>
      <c r="F4" s="3" t="n">
        <v>46283</v>
      </c>
      <c r="G4" s="2" t="inlineStr">
        <is>
          <t>ISSUED</t>
        </is>
      </c>
      <c r="H4" s="2" t="inlineStr">
        <is>
          <t>Low</t>
        </is>
      </c>
      <c r="I4" s="2" t="n">
        <v>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  <col width="15" customWidth="1" min="5" max="5"/>
    <col width="15" customWidth="1" min="6" max="6"/>
    <col width="17" customWidth="1" min="7" max="7"/>
    <col width="18" customWidth="1" min="8" max="8"/>
  </cols>
  <sheetData>
    <row r="1">
      <c r="A1" s="1" t="inlineStr">
        <is>
          <t>schedule_id</t>
        </is>
      </c>
      <c r="B1" s="1" t="inlineStr">
        <is>
          <t>project_id</t>
        </is>
      </c>
      <c r="C1" s="1" t="inlineStr">
        <is>
          <t>task_name</t>
        </is>
      </c>
      <c r="D1" s="1" t="inlineStr">
        <is>
          <t>responsible_employee_id</t>
        </is>
      </c>
      <c r="E1" s="1" t="inlineStr">
        <is>
          <t>schedule_date</t>
        </is>
      </c>
      <c r="F1" s="1" t="inlineStr">
        <is>
          <t>planned_hours</t>
        </is>
      </c>
      <c r="G1" s="1" t="inlineStr">
        <is>
          <t>schedule_status</t>
        </is>
      </c>
      <c r="H1" s="1" t="inlineStr">
        <is>
          <t>progress_percent</t>
        </is>
      </c>
    </row>
    <row r="2">
      <c r="A2" s="2" t="inlineStr">
        <is>
          <t>SCH-001</t>
        </is>
      </c>
      <c r="B2" s="2" t="inlineStr">
        <is>
          <t>PRJ-001</t>
        </is>
      </c>
      <c r="C2" s="2" t="inlineStr">
        <is>
          <t>現地調査</t>
        </is>
      </c>
      <c r="D2" s="2" t="inlineStr">
        <is>
          <t>EMP-001</t>
        </is>
      </c>
      <c r="E2" s="3" t="n">
        <v>46275</v>
      </c>
      <c r="F2" s="2" t="n">
        <v>4</v>
      </c>
      <c r="G2" s="2" t="inlineStr">
        <is>
          <t>Planned</t>
        </is>
      </c>
      <c r="H2" s="2" t="n">
        <v>20</v>
      </c>
    </row>
    <row r="3">
      <c r="A3" s="2" t="inlineStr">
        <is>
          <t>SCH-002</t>
        </is>
      </c>
      <c r="B3" s="2" t="inlineStr">
        <is>
          <t>PRJ-001</t>
        </is>
      </c>
      <c r="C3" s="2" t="inlineStr">
        <is>
          <t>機器設定</t>
        </is>
      </c>
      <c r="D3" s="2" t="inlineStr">
        <is>
          <t>EMP-002</t>
        </is>
      </c>
      <c r="E3" s="3" t="n">
        <v>46275</v>
      </c>
      <c r="F3" s="2" t="n">
        <v>6</v>
      </c>
      <c r="G3" s="2" t="inlineStr">
        <is>
          <t>Planned</t>
        </is>
      </c>
      <c r="H3" s="2" t="n">
        <v>35</v>
      </c>
    </row>
    <row r="4">
      <c r="A4" s="2" t="inlineStr">
        <is>
          <t>SCH-003</t>
        </is>
      </c>
      <c r="B4" s="2" t="inlineStr">
        <is>
          <t>PRJ-002</t>
        </is>
      </c>
      <c r="C4" s="2" t="inlineStr">
        <is>
          <t>配線工事</t>
        </is>
      </c>
      <c r="D4" s="2" t="inlineStr">
        <is>
          <t>EMP-001</t>
        </is>
      </c>
      <c r="E4" s="3" t="n">
        <v>46276</v>
      </c>
      <c r="F4" s="2" t="n">
        <v>5</v>
      </c>
      <c r="G4" s="2" t="inlineStr">
        <is>
          <t>Planned</t>
        </is>
      </c>
      <c r="H4" s="2" t="n">
        <v>50</v>
      </c>
    </row>
    <row r="5">
      <c r="A5" s="2" t="inlineStr">
        <is>
          <t>SCH-004</t>
        </is>
      </c>
      <c r="B5" s="2" t="inlineStr">
        <is>
          <t>PRJ-002</t>
        </is>
      </c>
      <c r="C5" s="2" t="inlineStr">
        <is>
          <t>試験調整</t>
        </is>
      </c>
      <c r="D5" s="2" t="inlineStr">
        <is>
          <t>EMP-002</t>
        </is>
      </c>
      <c r="E5" s="3" t="n">
        <v>46276</v>
      </c>
      <c r="F5" s="2" t="n">
        <v>4</v>
      </c>
      <c r="G5" s="2" t="inlineStr">
        <is>
          <t>Planned</t>
        </is>
      </c>
      <c r="H5" s="2" t="n">
        <v>50</v>
      </c>
    </row>
    <row r="6">
      <c r="A6" s="2" t="inlineStr">
        <is>
          <t>SCH-005</t>
        </is>
      </c>
      <c r="B6" s="2" t="inlineStr">
        <is>
          <t>PRJ-003</t>
        </is>
      </c>
      <c r="C6" s="2" t="inlineStr">
        <is>
          <t>定期点検</t>
        </is>
      </c>
      <c r="D6" s="2" t="inlineStr">
        <is>
          <t>EMP-003</t>
        </is>
      </c>
      <c r="E6" s="3" t="n">
        <v>46277</v>
      </c>
      <c r="F6" s="2" t="n">
        <v>7</v>
      </c>
      <c r="G6" s="2" t="inlineStr">
        <is>
          <t>Planned</t>
        </is>
      </c>
      <c r="H6" s="2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21" customWidth="1" min="7" max="7"/>
    <col width="12" customWidth="1" min="8" max="8"/>
    <col width="14" customWidth="1" min="9" max="9"/>
    <col width="21" customWidth="1" min="10" max="10"/>
  </cols>
  <sheetData>
    <row r="1">
      <c r="A1" s="1" t="inlineStr">
        <is>
          <t>entry_id</t>
        </is>
      </c>
      <c r="B1" s="1" t="inlineStr">
        <is>
          <t>employee_id</t>
        </is>
      </c>
      <c r="C1" s="1" t="inlineStr">
        <is>
          <t>work_date</t>
        </is>
      </c>
      <c r="D1" s="1" t="inlineStr">
        <is>
          <t>project_id</t>
        </is>
      </c>
      <c r="E1" s="1" t="inlineStr">
        <is>
          <t>task_name</t>
        </is>
      </c>
      <c r="F1" s="1" t="inlineStr">
        <is>
          <t>planned_hours</t>
        </is>
      </c>
      <c r="G1" s="1" t="inlineStr">
        <is>
          <t>availability_status</t>
        </is>
      </c>
      <c r="H1" s="1" t="inlineStr">
        <is>
          <t>remarks</t>
        </is>
      </c>
      <c r="I1" s="1" t="inlineStr">
        <is>
          <t>source_file</t>
        </is>
      </c>
      <c r="J1" s="1" t="inlineStr">
        <is>
          <t>last_refresh_at</t>
        </is>
      </c>
    </row>
    <row r="2">
      <c r="A2" s="2" t="inlineStr">
        <is>
          <t>EMP-001-2026-09-10-01</t>
        </is>
      </c>
      <c r="B2" s="2" t="inlineStr">
        <is>
          <t>EMP-001</t>
        </is>
      </c>
      <c r="C2" s="3" t="n">
        <v>46275</v>
      </c>
      <c r="D2" s="2" t="inlineStr">
        <is>
          <t>PRJ-001</t>
        </is>
      </c>
      <c r="E2" s="2" t="inlineStr">
        <is>
          <t>現地調査</t>
        </is>
      </c>
      <c r="F2" s="2" t="n">
        <v>4</v>
      </c>
      <c r="G2" s="2" t="inlineStr">
        <is>
          <t>Assigned</t>
        </is>
      </c>
      <c r="H2" s="2" t="inlineStr">
        <is>
          <t>午前対応</t>
        </is>
      </c>
      <c r="I2" s="2" t="inlineStr">
        <is>
          <t>EMP-001.xlsx</t>
        </is>
      </c>
      <c r="J2" s="4" t="n">
        <v>46274.375</v>
      </c>
    </row>
    <row r="3">
      <c r="A3" s="2" t="inlineStr">
        <is>
          <t>EMP-001-2026-09-10-02</t>
        </is>
      </c>
      <c r="B3" s="2" t="inlineStr">
        <is>
          <t>EMP-001</t>
        </is>
      </c>
      <c r="C3" s="3" t="n">
        <v>46275</v>
      </c>
      <c r="D3" s="2" t="inlineStr">
        <is>
          <t>PRJ-002</t>
        </is>
      </c>
      <c r="E3" s="2" t="inlineStr">
        <is>
          <t>資材手配</t>
        </is>
      </c>
      <c r="F3" s="2" t="n">
        <v>5</v>
      </c>
      <c r="G3" s="2" t="inlineStr">
        <is>
          <t>Assigned</t>
        </is>
      </c>
      <c r="H3" s="2" t="inlineStr">
        <is>
          <t>午後対応</t>
        </is>
      </c>
      <c r="I3" s="2" t="inlineStr">
        <is>
          <t>EMP-001.xlsx</t>
        </is>
      </c>
      <c r="J3" s="4" t="n">
        <v>46274.375</v>
      </c>
    </row>
    <row r="4">
      <c r="A4" s="2" t="inlineStr">
        <is>
          <t>EMP-002-2026-09-10-01</t>
        </is>
      </c>
      <c r="B4" s="2" t="inlineStr">
        <is>
          <t>EMP-002</t>
        </is>
      </c>
      <c r="C4" s="3" t="n">
        <v>46275</v>
      </c>
      <c r="D4" s="2" t="inlineStr">
        <is>
          <t>PRJ-001</t>
        </is>
      </c>
      <c r="E4" s="2" t="inlineStr">
        <is>
          <t>機器設定</t>
        </is>
      </c>
      <c r="F4" s="2" t="n">
        <v>6</v>
      </c>
      <c r="G4" s="2" t="inlineStr">
        <is>
          <t>Assigned</t>
        </is>
      </c>
      <c r="H4" s="2" t="inlineStr"/>
      <c r="I4" s="2" t="inlineStr">
        <is>
          <t>EMP-002.xlsx</t>
        </is>
      </c>
      <c r="J4" s="4" t="n">
        <v>46274.375</v>
      </c>
    </row>
    <row r="5">
      <c r="A5" s="2" t="inlineStr">
        <is>
          <t>EMP-002-2026-09-11-01</t>
        </is>
      </c>
      <c r="B5" s="2" t="inlineStr">
        <is>
          <t>EMP-002</t>
        </is>
      </c>
      <c r="C5" s="3" t="n">
        <v>46276</v>
      </c>
      <c r="D5" s="2" t="inlineStr">
        <is>
          <t>PRJ-002</t>
        </is>
      </c>
      <c r="E5" s="2" t="inlineStr">
        <is>
          <t>試験調整</t>
        </is>
      </c>
      <c r="F5" s="2" t="n">
        <v>4</v>
      </c>
      <c r="G5" s="2" t="inlineStr">
        <is>
          <t>Assigned</t>
        </is>
      </c>
      <c r="H5" s="2" t="inlineStr"/>
      <c r="I5" s="2" t="inlineStr">
        <is>
          <t>EMP-002.xlsx</t>
        </is>
      </c>
      <c r="J5" s="4" t="n">
        <v>46274.375</v>
      </c>
    </row>
    <row r="6">
      <c r="A6" s="2" t="inlineStr">
        <is>
          <t>EMP-003-2026-09-12-01</t>
        </is>
      </c>
      <c r="B6" s="2" t="inlineStr">
        <is>
          <t>EMP-003</t>
        </is>
      </c>
      <c r="C6" s="3" t="n">
        <v>46277</v>
      </c>
      <c r="D6" s="2" t="inlineStr">
        <is>
          <t>PRJ-003</t>
        </is>
      </c>
      <c r="E6" s="2" t="inlineStr">
        <is>
          <t>定期点検</t>
        </is>
      </c>
      <c r="F6" s="2" t="n">
        <v>7</v>
      </c>
      <c r="G6" s="2" t="inlineStr">
        <is>
          <t>Assigned</t>
        </is>
      </c>
      <c r="H6" s="2" t="inlineStr"/>
      <c r="I6" s="2" t="inlineStr">
        <is>
          <t>EMP-003.xlsx</t>
        </is>
      </c>
      <c r="J6" s="4" t="n">
        <v>46274.375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8" customWidth="1" min="5" max="5"/>
    <col width="14" customWidth="1" min="6" max="6"/>
    <col width="17" customWidth="1" min="7" max="7"/>
    <col width="12" customWidth="1" min="8" max="8"/>
    <col width="16" customWidth="1" min="9" max="9"/>
    <col width="14" customWidth="1" min="10" max="10"/>
    <col width="21" customWidth="1" min="11" max="11"/>
  </cols>
  <sheetData>
    <row r="1">
      <c r="A1" s="1" t="inlineStr">
        <is>
          <t>progress_entry_id</t>
        </is>
      </c>
      <c r="B1" s="1" t="inlineStr">
        <is>
          <t>employee_id</t>
        </is>
      </c>
      <c r="C1" s="1" t="inlineStr">
        <is>
          <t>project_id</t>
        </is>
      </c>
      <c r="D1" s="1" t="inlineStr">
        <is>
          <t>progress_date</t>
        </is>
      </c>
      <c r="E1" s="1" t="inlineStr">
        <is>
          <t>progress_percent</t>
        </is>
      </c>
      <c r="F1" s="1" t="inlineStr">
        <is>
          <t>actual_hours</t>
        </is>
      </c>
      <c r="G1" s="1" t="inlineStr">
        <is>
          <t>progress_status</t>
        </is>
      </c>
      <c r="H1" s="1" t="inlineStr">
        <is>
          <t>issue_flag</t>
        </is>
      </c>
      <c r="I1" s="1" t="inlineStr">
        <is>
          <t>update_comment</t>
        </is>
      </c>
      <c r="J1" s="1" t="inlineStr">
        <is>
          <t>source_file</t>
        </is>
      </c>
      <c r="K1" s="1" t="inlineStr">
        <is>
          <t>last_refresh_at</t>
        </is>
      </c>
    </row>
    <row r="2">
      <c r="A2" s="2" t="inlineStr">
        <is>
          <t>PRG-001</t>
        </is>
      </c>
      <c r="B2" s="2" t="inlineStr">
        <is>
          <t>EMP-001</t>
        </is>
      </c>
      <c r="C2" s="2" t="inlineStr">
        <is>
          <t>PRJ-001</t>
        </is>
      </c>
      <c r="D2" s="3" t="n">
        <v>46275</v>
      </c>
      <c r="E2" s="2" t="n">
        <v>35</v>
      </c>
      <c r="F2" s="2" t="n">
        <v>3.5</v>
      </c>
      <c r="G2" s="2" t="inlineStr">
        <is>
          <t>In Progress</t>
        </is>
      </c>
      <c r="H2" s="2" t="inlineStr">
        <is>
          <t>N</t>
        </is>
      </c>
      <c r="I2" s="2" t="inlineStr">
        <is>
          <t>現地調査完了</t>
        </is>
      </c>
      <c r="J2" s="2" t="inlineStr">
        <is>
          <t>EMP-001.xlsx</t>
        </is>
      </c>
      <c r="K2" s="4" t="n">
        <v>46274.375</v>
      </c>
    </row>
    <row r="3">
      <c r="A3" s="2" t="inlineStr">
        <is>
          <t>PRG-002</t>
        </is>
      </c>
      <c r="B3" s="2" t="inlineStr">
        <is>
          <t>EMP-002</t>
        </is>
      </c>
      <c r="C3" s="2" t="inlineStr">
        <is>
          <t>PRJ-002</t>
        </is>
      </c>
      <c r="D3" s="3" t="n">
        <v>46276</v>
      </c>
      <c r="E3" s="2" t="n">
        <v>50</v>
      </c>
      <c r="F3" s="2" t="n">
        <v>4</v>
      </c>
      <c r="G3" s="2" t="inlineStr">
        <is>
          <t>In Progress</t>
        </is>
      </c>
      <c r="H3" s="2" t="inlineStr">
        <is>
          <t>Y</t>
        </is>
      </c>
      <c r="I3" s="2" t="inlineStr">
        <is>
          <t>部材待ち</t>
        </is>
      </c>
      <c r="J3" s="2" t="inlineStr">
        <is>
          <t>EMP-002.xlsx</t>
        </is>
      </c>
      <c r="K3" s="4" t="n">
        <v>46274.375</v>
      </c>
    </row>
    <row r="4">
      <c r="A4" s="2" t="inlineStr">
        <is>
          <t>PRG-003</t>
        </is>
      </c>
      <c r="B4" s="2" t="inlineStr">
        <is>
          <t>EMP-003</t>
        </is>
      </c>
      <c r="C4" s="2" t="inlineStr">
        <is>
          <t>PRJ-003</t>
        </is>
      </c>
      <c r="D4" s="3" t="n">
        <v>46277</v>
      </c>
      <c r="E4" s="2" t="n">
        <v>60</v>
      </c>
      <c r="F4" s="2" t="n">
        <v>7</v>
      </c>
      <c r="G4" s="2" t="inlineStr">
        <is>
          <t>Done</t>
        </is>
      </c>
      <c r="H4" s="2" t="inlineStr">
        <is>
          <t>N</t>
        </is>
      </c>
      <c r="I4" s="2" t="inlineStr">
        <is>
          <t>点検完了</t>
        </is>
      </c>
      <c r="J4" s="2" t="inlineStr">
        <is>
          <t>EMP-003.xlsx</t>
        </is>
      </c>
      <c r="K4" s="4" t="n">
        <v>46274.375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25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</cols>
  <sheetData>
    <row r="1">
      <c r="A1" s="1" t="inlineStr">
        <is>
          <t>resource_row_id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department</t>
        </is>
      </c>
      <c r="E1" s="1" t="inlineStr">
        <is>
          <t>work_date</t>
        </is>
      </c>
      <c r="F1" s="1" t="inlineStr">
        <is>
          <t>project_id</t>
        </is>
      </c>
      <c r="G1" s="1" t="inlineStr">
        <is>
          <t>project_name</t>
        </is>
      </c>
      <c r="H1" s="1" t="inlineStr">
        <is>
          <t>task_name</t>
        </is>
      </c>
      <c r="I1" s="1" t="inlineStr">
        <is>
          <t>planned_hours</t>
        </is>
      </c>
      <c r="J1" s="1" t="inlineStr">
        <is>
          <t>daily_capacity_hours</t>
        </is>
      </c>
      <c r="K1" s="1" t="inlineStr">
        <is>
          <t>total_daily_hours</t>
        </is>
      </c>
      <c r="L1" s="1" t="inlineStr">
        <is>
          <t>utilization_rate</t>
        </is>
      </c>
      <c r="M1" s="1" t="inlineStr">
        <is>
          <t>overload_flag</t>
        </is>
      </c>
      <c r="N1" s="1" t="inlineStr">
        <is>
          <t>available_hours</t>
        </is>
      </c>
      <c r="O1" s="1" t="inlineStr">
        <is>
          <t>progress_percent</t>
        </is>
      </c>
      <c r="P1" s="1" t="inlineStr">
        <is>
          <t>progress_status</t>
        </is>
      </c>
      <c r="Q1" s="1" t="inlineStr">
        <is>
          <t>issue_flag</t>
        </is>
      </c>
    </row>
    <row r="2">
      <c r="A2" s="2">
        <f>IFERROR(INDEX(tblResourceInput[entry_id],ROW()-1),"")</f>
        <v/>
      </c>
      <c r="B2" s="2">
        <f>IF($A2="","",INDEX(tblResourceInput[employee_id],ROW()-1))</f>
        <v/>
      </c>
      <c r="C2" s="2">
        <f>IF($B2="","",XLOOKUP($B2,tblEmployeeMaster[employee_id],tblEmployeeMaster[employee_name],""))</f>
        <v/>
      </c>
      <c r="D2" s="2">
        <f>IF($B2="","",XLOOKUP($B2,tblEmployeeMaster[employee_id],tblEmployeeMaster[department],""))</f>
        <v/>
      </c>
      <c r="E2" s="2">
        <f>IF($A2="","",INDEX(tblResourceInput[work_date],ROW()-1))</f>
        <v/>
      </c>
      <c r="F2" s="2">
        <f>IF($A2="","",INDEX(tblResourceInput[project_id],ROW()-1))</f>
        <v/>
      </c>
      <c r="G2" s="2">
        <f>IF($F2="","",XLOOKUP($F2,tblProjectMaster[project_id],tblProjectMaster[project_name],""))</f>
        <v/>
      </c>
      <c r="H2" s="2">
        <f>IF($A2="","",INDEX(tblResourceInput[task_name],ROW()-1))</f>
        <v/>
      </c>
      <c r="I2" s="2">
        <f>IF($A2="","",INDEX(tblResourceInput[planned_hours],ROW()-1))</f>
        <v/>
      </c>
      <c r="J2" s="2">
        <f>IF($B2="","",XLOOKUP($B2,tblEmployeeMaster[employee_id],tblEmployeeMaster[daily_capacity_hours],0))</f>
        <v/>
      </c>
      <c r="K2" s="2">
        <f>IF($B2="","",SUMIFS(tblResourceInput[planned_hours],tblResourceInput[employee_id],$B2,tblResourceInput[work_date],$E2))</f>
        <v/>
      </c>
      <c r="L2" s="5">
        <f>IFERROR($K2/$J2,0)</f>
        <v/>
      </c>
      <c r="M2" s="2">
        <f>IF($A2="","",IF($K2&gt;$J2,"OVER","OK"))</f>
        <v/>
      </c>
      <c r="N2" s="2">
        <f>IF($A2="","",MAX($J2-$K2,0))</f>
        <v/>
      </c>
      <c r="O2" s="5">
        <f>IF($F2="","",MAXIFS(tblProgressInput[progress_percent],tblProgressInput[project_id],$F2))</f>
        <v/>
      </c>
      <c r="P2" s="2">
        <f>IF($F2="","",XLOOKUP($F2,tblProgressInput[project_id],tblProgressInput[progress_status],"Not Started",0,-1))</f>
        <v/>
      </c>
      <c r="Q2" s="2">
        <f>IF($F2="","",XLOOKUP($F2,tblProgressInput[project_id],tblProgressInput[issue_flag],"",0,-1))</f>
        <v/>
      </c>
    </row>
    <row r="3">
      <c r="A3" s="2">
        <f>IFERROR(INDEX(tblResourceInput[entry_id],ROW()-1),"")</f>
        <v/>
      </c>
      <c r="B3" s="2">
        <f>IF($A3="","",INDEX(tblResourceInput[employee_id],ROW()-1))</f>
        <v/>
      </c>
      <c r="C3" s="2">
        <f>IF($B3="","",XLOOKUP($B3,tblEmployeeMaster[employee_id],tblEmployeeMaster[employee_name],""))</f>
        <v/>
      </c>
      <c r="D3" s="2">
        <f>IF($B3="","",XLOOKUP($B3,tblEmployeeMaster[employee_id],tblEmployeeMaster[department],""))</f>
        <v/>
      </c>
      <c r="E3" s="2">
        <f>IF($A3="","",INDEX(tblResourceInput[work_date],ROW()-1))</f>
        <v/>
      </c>
      <c r="F3" s="2">
        <f>IF($A3="","",INDEX(tblResourceInput[project_id],ROW()-1))</f>
        <v/>
      </c>
      <c r="G3" s="2">
        <f>IF($F3="","",XLOOKUP($F3,tblProjectMaster[project_id],tblProjectMaster[project_name],""))</f>
        <v/>
      </c>
      <c r="H3" s="2">
        <f>IF($A3="","",INDEX(tblResourceInput[task_name],ROW()-1))</f>
        <v/>
      </c>
      <c r="I3" s="2">
        <f>IF($A3="","",INDEX(tblResourceInput[planned_hours],ROW()-1))</f>
        <v/>
      </c>
      <c r="J3" s="2">
        <f>IF($B3="","",XLOOKUP($B3,tblEmployeeMaster[employee_id],tblEmployeeMaster[daily_capacity_hours],0))</f>
        <v/>
      </c>
      <c r="K3" s="2">
        <f>IF($B3="","",SUMIFS(tblResourceInput[planned_hours],tblResourceInput[employee_id],$B3,tblResourceInput[work_date],$E3))</f>
        <v/>
      </c>
      <c r="L3" s="5">
        <f>IFERROR($K3/$J3,0)</f>
        <v/>
      </c>
      <c r="M3" s="2">
        <f>IF($A3="","",IF($K3&gt;$J3,"OVER","OK"))</f>
        <v/>
      </c>
      <c r="N3" s="2">
        <f>IF($A3="","",MAX($J3-$K3,0))</f>
        <v/>
      </c>
      <c r="O3" s="5">
        <f>IF($F3="","",MAXIFS(tblProgressInput[progress_percent],tblProgressInput[project_id],$F3))</f>
        <v/>
      </c>
      <c r="P3" s="2">
        <f>IF($F3="","",XLOOKUP($F3,tblProgressInput[project_id],tblProgressInput[progress_status],"Not Started",0,-1))</f>
        <v/>
      </c>
      <c r="Q3" s="2">
        <f>IF($F3="","",XLOOKUP($F3,tblProgressInput[project_id],tblProgressInput[issue_flag],"",0,-1))</f>
        <v/>
      </c>
    </row>
    <row r="4">
      <c r="A4" s="2">
        <f>IFERROR(INDEX(tblResourceInput[entry_id],ROW()-1),"")</f>
        <v/>
      </c>
      <c r="B4" s="2">
        <f>IF($A4="","",INDEX(tblResourceInput[employee_id],ROW()-1))</f>
        <v/>
      </c>
      <c r="C4" s="2">
        <f>IF($B4="","",XLOOKUP($B4,tblEmployeeMaster[employee_id],tblEmployeeMaster[employee_name],""))</f>
        <v/>
      </c>
      <c r="D4" s="2">
        <f>IF($B4="","",XLOOKUP($B4,tblEmployeeMaster[employee_id],tblEmployeeMaster[department],""))</f>
        <v/>
      </c>
      <c r="E4" s="2">
        <f>IF($A4="","",INDEX(tblResourceInput[work_date],ROW()-1))</f>
        <v/>
      </c>
      <c r="F4" s="2">
        <f>IF($A4="","",INDEX(tblResourceInput[project_id],ROW()-1))</f>
        <v/>
      </c>
      <c r="G4" s="2">
        <f>IF($F4="","",XLOOKUP($F4,tblProjectMaster[project_id],tblProjectMaster[project_name],""))</f>
        <v/>
      </c>
      <c r="H4" s="2">
        <f>IF($A4="","",INDEX(tblResourceInput[task_name],ROW()-1))</f>
        <v/>
      </c>
      <c r="I4" s="2">
        <f>IF($A4="","",INDEX(tblResourceInput[planned_hours],ROW()-1))</f>
        <v/>
      </c>
      <c r="J4" s="2">
        <f>IF($B4="","",XLOOKUP($B4,tblEmployeeMaster[employee_id],tblEmployeeMaster[daily_capacity_hours],0))</f>
        <v/>
      </c>
      <c r="K4" s="2">
        <f>IF($B4="","",SUMIFS(tblResourceInput[planned_hours],tblResourceInput[employee_id],$B4,tblResourceInput[work_date],$E4))</f>
        <v/>
      </c>
      <c r="L4" s="5">
        <f>IFERROR($K4/$J4,0)</f>
        <v/>
      </c>
      <c r="M4" s="2">
        <f>IF($A4="","",IF($K4&gt;$J4,"OVER","OK"))</f>
        <v/>
      </c>
      <c r="N4" s="2">
        <f>IF($A4="","",MAX($J4-$K4,0))</f>
        <v/>
      </c>
      <c r="O4" s="5">
        <f>IF($F4="","",MAXIFS(tblProgressInput[progress_percent],tblProgressInput[project_id],$F4))</f>
        <v/>
      </c>
      <c r="P4" s="2">
        <f>IF($F4="","",XLOOKUP($F4,tblProgressInput[project_id],tblProgressInput[progress_status],"Not Started",0,-1))</f>
        <v/>
      </c>
      <c r="Q4" s="2">
        <f>IF($F4="","",XLOOKUP($F4,tblProgressInput[project_id],tblProgressInput[issue_flag],"",0,-1))</f>
        <v/>
      </c>
    </row>
    <row r="5">
      <c r="A5" s="2">
        <f>IFERROR(INDEX(tblResourceInput[entry_id],ROW()-1),"")</f>
        <v/>
      </c>
      <c r="B5" s="2">
        <f>IF($A5="","",INDEX(tblResourceInput[employee_id],ROW()-1))</f>
        <v/>
      </c>
      <c r="C5" s="2">
        <f>IF($B5="","",XLOOKUP($B5,tblEmployeeMaster[employee_id],tblEmployeeMaster[employee_name],""))</f>
        <v/>
      </c>
      <c r="D5" s="2">
        <f>IF($B5="","",XLOOKUP($B5,tblEmployeeMaster[employee_id],tblEmployeeMaster[department],""))</f>
        <v/>
      </c>
      <c r="E5" s="2">
        <f>IF($A5="","",INDEX(tblResourceInput[work_date],ROW()-1))</f>
        <v/>
      </c>
      <c r="F5" s="2">
        <f>IF($A5="","",INDEX(tblResourceInput[project_id],ROW()-1))</f>
        <v/>
      </c>
      <c r="G5" s="2">
        <f>IF($F5="","",XLOOKUP($F5,tblProjectMaster[project_id],tblProjectMaster[project_name],""))</f>
        <v/>
      </c>
      <c r="H5" s="2">
        <f>IF($A5="","",INDEX(tblResourceInput[task_name],ROW()-1))</f>
        <v/>
      </c>
      <c r="I5" s="2">
        <f>IF($A5="","",INDEX(tblResourceInput[planned_hours],ROW()-1))</f>
        <v/>
      </c>
      <c r="J5" s="2">
        <f>IF($B5="","",XLOOKUP($B5,tblEmployeeMaster[employee_id],tblEmployeeMaster[daily_capacity_hours],0))</f>
        <v/>
      </c>
      <c r="K5" s="2">
        <f>IF($B5="","",SUMIFS(tblResourceInput[planned_hours],tblResourceInput[employee_id],$B5,tblResourceInput[work_date],$E5))</f>
        <v/>
      </c>
      <c r="L5" s="5">
        <f>IFERROR($K5/$J5,0)</f>
        <v/>
      </c>
      <c r="M5" s="2">
        <f>IF($A5="","",IF($K5&gt;$J5,"OVER","OK"))</f>
        <v/>
      </c>
      <c r="N5" s="2">
        <f>IF($A5="","",MAX($J5-$K5,0))</f>
        <v/>
      </c>
      <c r="O5" s="5">
        <f>IF($F5="","",MAXIFS(tblProgressInput[progress_percent],tblProgressInput[project_id],$F5))</f>
        <v/>
      </c>
      <c r="P5" s="2">
        <f>IF($F5="","",XLOOKUP($F5,tblProgressInput[project_id],tblProgressInput[progress_status],"Not Started",0,-1))</f>
        <v/>
      </c>
      <c r="Q5" s="2">
        <f>IF($F5="","",XLOOKUP($F5,tblProgressInput[project_id],tblProgressInput[issue_flag],"",0,-1))</f>
        <v/>
      </c>
    </row>
    <row r="6">
      <c r="A6" s="2">
        <f>IFERROR(INDEX(tblResourceInput[entry_id],ROW()-1),"")</f>
        <v/>
      </c>
      <c r="B6" s="2">
        <f>IF($A6="","",INDEX(tblResourceInput[employee_id],ROW()-1))</f>
        <v/>
      </c>
      <c r="C6" s="2">
        <f>IF($B6="","",XLOOKUP($B6,tblEmployeeMaster[employee_id],tblEmployeeMaster[employee_name],""))</f>
        <v/>
      </c>
      <c r="D6" s="2">
        <f>IF($B6="","",XLOOKUP($B6,tblEmployeeMaster[employee_id],tblEmployeeMaster[department],""))</f>
        <v/>
      </c>
      <c r="E6" s="2">
        <f>IF($A6="","",INDEX(tblResourceInput[work_date],ROW()-1))</f>
        <v/>
      </c>
      <c r="F6" s="2">
        <f>IF($A6="","",INDEX(tblResourceInput[project_id],ROW()-1))</f>
        <v/>
      </c>
      <c r="G6" s="2">
        <f>IF($F6="","",XLOOKUP($F6,tblProjectMaster[project_id],tblProjectMaster[project_name],""))</f>
        <v/>
      </c>
      <c r="H6" s="2">
        <f>IF($A6="","",INDEX(tblResourceInput[task_name],ROW()-1))</f>
        <v/>
      </c>
      <c r="I6" s="2">
        <f>IF($A6="","",INDEX(tblResourceInput[planned_hours],ROW()-1))</f>
        <v/>
      </c>
      <c r="J6" s="2">
        <f>IF($B6="","",XLOOKUP($B6,tblEmployeeMaster[employee_id],tblEmployeeMaster[daily_capacity_hours],0))</f>
        <v/>
      </c>
      <c r="K6" s="2">
        <f>IF($B6="","",SUMIFS(tblResourceInput[planned_hours],tblResourceInput[employee_id],$B6,tblResourceInput[work_date],$E6))</f>
        <v/>
      </c>
      <c r="L6" s="5">
        <f>IFERROR($K6/$J6,0)</f>
        <v/>
      </c>
      <c r="M6" s="2">
        <f>IF($A6="","",IF($K6&gt;$J6,"OVER","OK"))</f>
        <v/>
      </c>
      <c r="N6" s="2">
        <f>IF($A6="","",MAX($J6-$K6,0))</f>
        <v/>
      </c>
      <c r="O6" s="5">
        <f>IF($F6="","",MAXIFS(tblProgressInput[progress_percent],tblProgressInput[project_id],$F6))</f>
        <v/>
      </c>
      <c r="P6" s="2">
        <f>IF($F6="","",XLOOKUP($F6,tblProgressInput[project_id],tblProgressInput[progress_status],"Not Started",0,-1))</f>
        <v/>
      </c>
      <c r="Q6" s="2">
        <f>IF($F6="","",XLOOKUP($F6,tblProgressInput[project_id],tblProgressInput[issue_flag],"",0,-1))</f>
        <v/>
      </c>
    </row>
    <row r="7">
      <c r="A7" s="2">
        <f>IFERROR(INDEX(tblResourceInput[entry_id],ROW()-1),"")</f>
        <v/>
      </c>
      <c r="B7" s="2">
        <f>IF($A7="","",INDEX(tblResourceInput[employee_id],ROW()-1))</f>
        <v/>
      </c>
      <c r="C7" s="2">
        <f>IF($B7="","",XLOOKUP($B7,tblEmployeeMaster[employee_id],tblEmployeeMaster[employee_name],""))</f>
        <v/>
      </c>
      <c r="D7" s="2">
        <f>IF($B7="","",XLOOKUP($B7,tblEmployeeMaster[employee_id],tblEmployeeMaster[department],""))</f>
        <v/>
      </c>
      <c r="E7" s="2">
        <f>IF($A7="","",INDEX(tblResourceInput[work_date],ROW()-1))</f>
        <v/>
      </c>
      <c r="F7" s="2">
        <f>IF($A7="","",INDEX(tblResourceInput[project_id],ROW()-1))</f>
        <v/>
      </c>
      <c r="G7" s="2">
        <f>IF($F7="","",XLOOKUP($F7,tblProjectMaster[project_id],tblProjectMaster[project_name],""))</f>
        <v/>
      </c>
      <c r="H7" s="2">
        <f>IF($A7="","",INDEX(tblResourceInput[task_name],ROW()-1))</f>
        <v/>
      </c>
      <c r="I7" s="2">
        <f>IF($A7="","",INDEX(tblResourceInput[planned_hours],ROW()-1))</f>
        <v/>
      </c>
      <c r="J7" s="2">
        <f>IF($B7="","",XLOOKUP($B7,tblEmployeeMaster[employee_id],tblEmployeeMaster[daily_capacity_hours],0))</f>
        <v/>
      </c>
      <c r="K7" s="2">
        <f>IF($B7="","",SUMIFS(tblResourceInput[planned_hours],tblResourceInput[employee_id],$B7,tblResourceInput[work_date],$E7))</f>
        <v/>
      </c>
      <c r="L7" s="5">
        <f>IFERROR($K7/$J7,0)</f>
        <v/>
      </c>
      <c r="M7" s="2">
        <f>IF($A7="","",IF($K7&gt;$J7,"OVER","OK"))</f>
        <v/>
      </c>
      <c r="N7" s="2">
        <f>IF($A7="","",MAX($J7-$K7,0))</f>
        <v/>
      </c>
      <c r="O7" s="5">
        <f>IF($F7="","",MAXIFS(tblProgressInput[progress_percent],tblProgressInput[project_id],$F7))</f>
        <v/>
      </c>
      <c r="P7" s="2">
        <f>IF($F7="","",XLOOKUP($F7,tblProgressInput[project_id],tblProgressInput[progress_status],"Not Started",0,-1))</f>
        <v/>
      </c>
      <c r="Q7" s="2">
        <f>IF($F7="","",XLOOKUP($F7,tblProgressInput[project_id],tblProgressInput[issue_flag],"",0,-1))</f>
        <v/>
      </c>
    </row>
    <row r="8">
      <c r="A8" s="2">
        <f>IFERROR(INDEX(tblResourceInput[entry_id],ROW()-1),"")</f>
        <v/>
      </c>
      <c r="B8" s="2">
        <f>IF($A8="","",INDEX(tblResourceInput[employee_id],ROW()-1))</f>
        <v/>
      </c>
      <c r="C8" s="2">
        <f>IF($B8="","",XLOOKUP($B8,tblEmployeeMaster[employee_id],tblEmployeeMaster[employee_name],""))</f>
        <v/>
      </c>
      <c r="D8" s="2">
        <f>IF($B8="","",XLOOKUP($B8,tblEmployeeMaster[employee_id],tblEmployeeMaster[department],""))</f>
        <v/>
      </c>
      <c r="E8" s="2">
        <f>IF($A8="","",INDEX(tblResourceInput[work_date],ROW()-1))</f>
        <v/>
      </c>
      <c r="F8" s="2">
        <f>IF($A8="","",INDEX(tblResourceInput[project_id],ROW()-1))</f>
        <v/>
      </c>
      <c r="G8" s="2">
        <f>IF($F8="","",XLOOKUP($F8,tblProjectMaster[project_id],tblProjectMaster[project_name],""))</f>
        <v/>
      </c>
      <c r="H8" s="2">
        <f>IF($A8="","",INDEX(tblResourceInput[task_name],ROW()-1))</f>
        <v/>
      </c>
      <c r="I8" s="2">
        <f>IF($A8="","",INDEX(tblResourceInput[planned_hours],ROW()-1))</f>
        <v/>
      </c>
      <c r="J8" s="2">
        <f>IF($B8="","",XLOOKUP($B8,tblEmployeeMaster[employee_id],tblEmployeeMaster[daily_capacity_hours],0))</f>
        <v/>
      </c>
      <c r="K8" s="2">
        <f>IF($B8="","",SUMIFS(tblResourceInput[planned_hours],tblResourceInput[employee_id],$B8,tblResourceInput[work_date],$E8))</f>
        <v/>
      </c>
      <c r="L8" s="5">
        <f>IFERROR($K8/$J8,0)</f>
        <v/>
      </c>
      <c r="M8" s="2">
        <f>IF($A8="","",IF($K8&gt;$J8,"OVER","OK"))</f>
        <v/>
      </c>
      <c r="N8" s="2">
        <f>IF($A8="","",MAX($J8-$K8,0))</f>
        <v/>
      </c>
      <c r="O8" s="5">
        <f>IF($F8="","",MAXIFS(tblProgressInput[progress_percent],tblProgressInput[project_id],$F8))</f>
        <v/>
      </c>
      <c r="P8" s="2">
        <f>IF($F8="","",XLOOKUP($F8,tblProgressInput[project_id],tblProgressInput[progress_status],"Not Started",0,-1))</f>
        <v/>
      </c>
      <c r="Q8" s="2">
        <f>IF($F8="","",XLOOKUP($F8,tblProgressInput[project_id],tblProgressInput[issue_flag],"",0,-1))</f>
        <v/>
      </c>
    </row>
    <row r="9">
      <c r="A9" s="2">
        <f>IFERROR(INDEX(tblResourceInput[entry_id],ROW()-1),"")</f>
        <v/>
      </c>
      <c r="B9" s="2">
        <f>IF($A9="","",INDEX(tblResourceInput[employee_id],ROW()-1))</f>
        <v/>
      </c>
      <c r="C9" s="2">
        <f>IF($B9="","",XLOOKUP($B9,tblEmployeeMaster[employee_id],tblEmployeeMaster[employee_name],""))</f>
        <v/>
      </c>
      <c r="D9" s="2">
        <f>IF($B9="","",XLOOKUP($B9,tblEmployeeMaster[employee_id],tblEmployeeMaster[department],""))</f>
        <v/>
      </c>
      <c r="E9" s="2">
        <f>IF($A9="","",INDEX(tblResourceInput[work_date],ROW()-1))</f>
        <v/>
      </c>
      <c r="F9" s="2">
        <f>IF($A9="","",INDEX(tblResourceInput[project_id],ROW()-1))</f>
        <v/>
      </c>
      <c r="G9" s="2">
        <f>IF($F9="","",XLOOKUP($F9,tblProjectMaster[project_id],tblProjectMaster[project_name],""))</f>
        <v/>
      </c>
      <c r="H9" s="2">
        <f>IF($A9="","",INDEX(tblResourceInput[task_name],ROW()-1))</f>
        <v/>
      </c>
      <c r="I9" s="2">
        <f>IF($A9="","",INDEX(tblResourceInput[planned_hours],ROW()-1))</f>
        <v/>
      </c>
      <c r="J9" s="2">
        <f>IF($B9="","",XLOOKUP($B9,tblEmployeeMaster[employee_id],tblEmployeeMaster[daily_capacity_hours],0))</f>
        <v/>
      </c>
      <c r="K9" s="2">
        <f>IF($B9="","",SUMIFS(tblResourceInput[planned_hours],tblResourceInput[employee_id],$B9,tblResourceInput[work_date],$E9))</f>
        <v/>
      </c>
      <c r="L9" s="5">
        <f>IFERROR($K9/$J9,0)</f>
        <v/>
      </c>
      <c r="M9" s="2">
        <f>IF($A9="","",IF($K9&gt;$J9,"OVER","OK"))</f>
        <v/>
      </c>
      <c r="N9" s="2">
        <f>IF($A9="","",MAX($J9-$K9,0))</f>
        <v/>
      </c>
      <c r="O9" s="5">
        <f>IF($F9="","",MAXIFS(tblProgressInput[progress_percent],tblProgressInput[project_id],$F9))</f>
        <v/>
      </c>
      <c r="P9" s="2">
        <f>IF($F9="","",XLOOKUP($F9,tblProgressInput[project_id],tblProgressInput[progress_status],"Not Started",0,-1))</f>
        <v/>
      </c>
      <c r="Q9" s="2">
        <f>IF($F9="","",XLOOKUP($F9,tblProgressInput[project_id],tblProgressInput[issue_flag],"",0,-1))</f>
        <v/>
      </c>
    </row>
    <row r="10">
      <c r="A10" s="2">
        <f>IFERROR(INDEX(tblResourceInput[entry_id],ROW()-1),"")</f>
        <v/>
      </c>
      <c r="B10" s="2">
        <f>IF($A10="","",INDEX(tblResourceInput[employee_id],ROW()-1))</f>
        <v/>
      </c>
      <c r="C10" s="2">
        <f>IF($B10="","",XLOOKUP($B10,tblEmployeeMaster[employee_id],tblEmployeeMaster[employee_name],""))</f>
        <v/>
      </c>
      <c r="D10" s="2">
        <f>IF($B10="","",XLOOKUP($B10,tblEmployeeMaster[employee_id],tblEmployeeMaster[department],""))</f>
        <v/>
      </c>
      <c r="E10" s="2">
        <f>IF($A10="","",INDEX(tblResourceInput[work_date],ROW()-1))</f>
        <v/>
      </c>
      <c r="F10" s="2">
        <f>IF($A10="","",INDEX(tblResourceInput[project_id],ROW()-1))</f>
        <v/>
      </c>
      <c r="G10" s="2">
        <f>IF($F10="","",XLOOKUP($F10,tblProjectMaster[project_id],tblProjectMaster[project_name],""))</f>
        <v/>
      </c>
      <c r="H10" s="2">
        <f>IF($A10="","",INDEX(tblResourceInput[task_name],ROW()-1))</f>
        <v/>
      </c>
      <c r="I10" s="2">
        <f>IF($A10="","",INDEX(tblResourceInput[planned_hours],ROW()-1))</f>
        <v/>
      </c>
      <c r="J10" s="2">
        <f>IF($B10="","",XLOOKUP($B10,tblEmployeeMaster[employee_id],tblEmployeeMaster[daily_capacity_hours],0))</f>
        <v/>
      </c>
      <c r="K10" s="2">
        <f>IF($B10="","",SUMIFS(tblResourceInput[planned_hours],tblResourceInput[employee_id],$B10,tblResourceInput[work_date],$E10))</f>
        <v/>
      </c>
      <c r="L10" s="5">
        <f>IFERROR($K10/$J10,0)</f>
        <v/>
      </c>
      <c r="M10" s="2">
        <f>IF($A10="","",IF($K10&gt;$J10,"OVER","OK"))</f>
        <v/>
      </c>
      <c r="N10" s="2">
        <f>IF($A10="","",MAX($J10-$K10,0))</f>
        <v/>
      </c>
      <c r="O10" s="5">
        <f>IF($F10="","",MAXIFS(tblProgressInput[progress_percent],tblProgressInput[project_id],$F10))</f>
        <v/>
      </c>
      <c r="P10" s="2">
        <f>IF($F10="","",XLOOKUP($F10,tblProgressInput[project_id],tblProgressInput[progress_status],"Not Started",0,-1))</f>
        <v/>
      </c>
      <c r="Q10" s="2">
        <f>IF($F10="","",XLOOKUP($F10,tblProgressInput[project_id],tblProgressInput[issue_flag],"",0,-1))</f>
        <v/>
      </c>
    </row>
    <row r="11">
      <c r="A11" s="2">
        <f>IFERROR(INDEX(tblResourceInput[entry_id],ROW()-1),"")</f>
        <v/>
      </c>
      <c r="B11" s="2">
        <f>IF($A11="","",INDEX(tblResourceInput[employee_id],ROW()-1))</f>
        <v/>
      </c>
      <c r="C11" s="2">
        <f>IF($B11="","",XLOOKUP($B11,tblEmployeeMaster[employee_id],tblEmployeeMaster[employee_name],""))</f>
        <v/>
      </c>
      <c r="D11" s="2">
        <f>IF($B11="","",XLOOKUP($B11,tblEmployeeMaster[employee_id],tblEmployeeMaster[department],""))</f>
        <v/>
      </c>
      <c r="E11" s="2">
        <f>IF($A11="","",INDEX(tblResourceInput[work_date],ROW()-1))</f>
        <v/>
      </c>
      <c r="F11" s="2">
        <f>IF($A11="","",INDEX(tblResourceInput[project_id],ROW()-1))</f>
        <v/>
      </c>
      <c r="G11" s="2">
        <f>IF($F11="","",XLOOKUP($F11,tblProjectMaster[project_id],tblProjectMaster[project_name],""))</f>
        <v/>
      </c>
      <c r="H11" s="2">
        <f>IF($A11="","",INDEX(tblResourceInput[task_name],ROW()-1))</f>
        <v/>
      </c>
      <c r="I11" s="2">
        <f>IF($A11="","",INDEX(tblResourceInput[planned_hours],ROW()-1))</f>
        <v/>
      </c>
      <c r="J11" s="2">
        <f>IF($B11="","",XLOOKUP($B11,tblEmployeeMaster[employee_id],tblEmployeeMaster[daily_capacity_hours],0))</f>
        <v/>
      </c>
      <c r="K11" s="2">
        <f>IF($B11="","",SUMIFS(tblResourceInput[planned_hours],tblResourceInput[employee_id],$B11,tblResourceInput[work_date],$E11))</f>
        <v/>
      </c>
      <c r="L11" s="5">
        <f>IFERROR($K11/$J11,0)</f>
        <v/>
      </c>
      <c r="M11" s="2">
        <f>IF($A11="","",IF($K11&gt;$J11,"OVER","OK"))</f>
        <v/>
      </c>
      <c r="N11" s="2">
        <f>IF($A11="","",MAX($J11-$K11,0))</f>
        <v/>
      </c>
      <c r="O11" s="5">
        <f>IF($F11="","",MAXIFS(tblProgressInput[progress_percent],tblProgressInput[project_id],$F11))</f>
        <v/>
      </c>
      <c r="P11" s="2">
        <f>IF($F11="","",XLOOKUP($F11,tblProgressInput[project_id],tblProgressInput[progress_status],"Not Started",0,-1))</f>
        <v/>
      </c>
      <c r="Q11" s="2">
        <f>IF($F11="","",XLOOKUP($F11,tblProgressInput[project_id],tblProgressInput[issue_flag],"",0,-1))</f>
        <v/>
      </c>
    </row>
    <row r="12">
      <c r="A12" s="2">
        <f>IFERROR(INDEX(tblResourceInput[entry_id],ROW()-1),"")</f>
        <v/>
      </c>
      <c r="B12" s="2">
        <f>IF($A12="","",INDEX(tblResourceInput[employee_id],ROW()-1))</f>
        <v/>
      </c>
      <c r="C12" s="2">
        <f>IF($B12="","",XLOOKUP($B12,tblEmployeeMaster[employee_id],tblEmployeeMaster[employee_name],""))</f>
        <v/>
      </c>
      <c r="D12" s="2">
        <f>IF($B12="","",XLOOKUP($B12,tblEmployeeMaster[employee_id],tblEmployeeMaster[department],""))</f>
        <v/>
      </c>
      <c r="E12" s="2">
        <f>IF($A12="","",INDEX(tblResourceInput[work_date],ROW()-1))</f>
        <v/>
      </c>
      <c r="F12" s="2">
        <f>IF($A12="","",INDEX(tblResourceInput[project_id],ROW()-1))</f>
        <v/>
      </c>
      <c r="G12" s="2">
        <f>IF($F12="","",XLOOKUP($F12,tblProjectMaster[project_id],tblProjectMaster[project_name],""))</f>
        <v/>
      </c>
      <c r="H12" s="2">
        <f>IF($A12="","",INDEX(tblResourceInput[task_name],ROW()-1))</f>
        <v/>
      </c>
      <c r="I12" s="2">
        <f>IF($A12="","",INDEX(tblResourceInput[planned_hours],ROW()-1))</f>
        <v/>
      </c>
      <c r="J12" s="2">
        <f>IF($B12="","",XLOOKUP($B12,tblEmployeeMaster[employee_id],tblEmployeeMaster[daily_capacity_hours],0))</f>
        <v/>
      </c>
      <c r="K12" s="2">
        <f>IF($B12="","",SUMIFS(tblResourceInput[planned_hours],tblResourceInput[employee_id],$B12,tblResourceInput[work_date],$E12))</f>
        <v/>
      </c>
      <c r="L12" s="5">
        <f>IFERROR($K12/$J12,0)</f>
        <v/>
      </c>
      <c r="M12" s="2">
        <f>IF($A12="","",IF($K12&gt;$J12,"OVER","OK"))</f>
        <v/>
      </c>
      <c r="N12" s="2">
        <f>IF($A12="","",MAX($J12-$K12,0))</f>
        <v/>
      </c>
      <c r="O12" s="5">
        <f>IF($F12="","",MAXIFS(tblProgressInput[progress_percent],tblProgressInput[project_id],$F12))</f>
        <v/>
      </c>
      <c r="P12" s="2">
        <f>IF($F12="","",XLOOKUP($F12,tblProgressInput[project_id],tblProgressInput[progress_status],"Not Started",0,-1))</f>
        <v/>
      </c>
      <c r="Q12" s="2">
        <f>IF($F12="","",XLOOKUP($F12,tblProgressInput[project_id],tblProgressInput[issue_flag],"",0,-1))</f>
        <v/>
      </c>
    </row>
    <row r="13">
      <c r="A13" s="2">
        <f>IFERROR(INDEX(tblResourceInput[entry_id],ROW()-1),"")</f>
        <v/>
      </c>
      <c r="B13" s="2">
        <f>IF($A13="","",INDEX(tblResourceInput[employee_id],ROW()-1))</f>
        <v/>
      </c>
      <c r="C13" s="2">
        <f>IF($B13="","",XLOOKUP($B13,tblEmployeeMaster[employee_id],tblEmployeeMaster[employee_name],""))</f>
        <v/>
      </c>
      <c r="D13" s="2">
        <f>IF($B13="","",XLOOKUP($B13,tblEmployeeMaster[employee_id],tblEmployeeMaster[department],""))</f>
        <v/>
      </c>
      <c r="E13" s="2">
        <f>IF($A13="","",INDEX(tblResourceInput[work_date],ROW()-1))</f>
        <v/>
      </c>
      <c r="F13" s="2">
        <f>IF($A13="","",INDEX(tblResourceInput[project_id],ROW()-1))</f>
        <v/>
      </c>
      <c r="G13" s="2">
        <f>IF($F13="","",XLOOKUP($F13,tblProjectMaster[project_id],tblProjectMaster[project_name],""))</f>
        <v/>
      </c>
      <c r="H13" s="2">
        <f>IF($A13="","",INDEX(tblResourceInput[task_name],ROW()-1))</f>
        <v/>
      </c>
      <c r="I13" s="2">
        <f>IF($A13="","",INDEX(tblResourceInput[planned_hours],ROW()-1))</f>
        <v/>
      </c>
      <c r="J13" s="2">
        <f>IF($B13="","",XLOOKUP($B13,tblEmployeeMaster[employee_id],tblEmployeeMaster[daily_capacity_hours],0))</f>
        <v/>
      </c>
      <c r="K13" s="2">
        <f>IF($B13="","",SUMIFS(tblResourceInput[planned_hours],tblResourceInput[employee_id],$B13,tblResourceInput[work_date],$E13))</f>
        <v/>
      </c>
      <c r="L13" s="5">
        <f>IFERROR($K13/$J13,0)</f>
        <v/>
      </c>
      <c r="M13" s="2">
        <f>IF($A13="","",IF($K13&gt;$J13,"OVER","OK"))</f>
        <v/>
      </c>
      <c r="N13" s="2">
        <f>IF($A13="","",MAX($J13-$K13,0))</f>
        <v/>
      </c>
      <c r="O13" s="5">
        <f>IF($F13="","",MAXIFS(tblProgressInput[progress_percent],tblProgressInput[project_id],$F13))</f>
        <v/>
      </c>
      <c r="P13" s="2">
        <f>IF($F13="","",XLOOKUP($F13,tblProgressInput[project_id],tblProgressInput[progress_status],"Not Started",0,-1))</f>
        <v/>
      </c>
      <c r="Q13" s="2">
        <f>IF($F13="","",XLOOKUP($F13,tblProgressInput[project_id],tblProgressInput[issue_flag],"",0,-1))</f>
        <v/>
      </c>
    </row>
    <row r="14">
      <c r="A14" s="2">
        <f>IFERROR(INDEX(tblResourceInput[entry_id],ROW()-1),"")</f>
        <v/>
      </c>
      <c r="B14" s="2">
        <f>IF($A14="","",INDEX(tblResourceInput[employee_id],ROW()-1))</f>
        <v/>
      </c>
      <c r="C14" s="2">
        <f>IF($B14="","",XLOOKUP($B14,tblEmployeeMaster[employee_id],tblEmployeeMaster[employee_name],""))</f>
        <v/>
      </c>
      <c r="D14" s="2">
        <f>IF($B14="","",XLOOKUP($B14,tblEmployeeMaster[employee_id],tblEmployeeMaster[department],""))</f>
        <v/>
      </c>
      <c r="E14" s="2">
        <f>IF($A14="","",INDEX(tblResourceInput[work_date],ROW()-1))</f>
        <v/>
      </c>
      <c r="F14" s="2">
        <f>IF($A14="","",INDEX(tblResourceInput[project_id],ROW()-1))</f>
        <v/>
      </c>
      <c r="G14" s="2">
        <f>IF($F14="","",XLOOKUP($F14,tblProjectMaster[project_id],tblProjectMaster[project_name],""))</f>
        <v/>
      </c>
      <c r="H14" s="2">
        <f>IF($A14="","",INDEX(tblResourceInput[task_name],ROW()-1))</f>
        <v/>
      </c>
      <c r="I14" s="2">
        <f>IF($A14="","",INDEX(tblResourceInput[planned_hours],ROW()-1))</f>
        <v/>
      </c>
      <c r="J14" s="2">
        <f>IF($B14="","",XLOOKUP($B14,tblEmployeeMaster[employee_id],tblEmployeeMaster[daily_capacity_hours],0))</f>
        <v/>
      </c>
      <c r="K14" s="2">
        <f>IF($B14="","",SUMIFS(tblResourceInput[planned_hours],tblResourceInput[employee_id],$B14,tblResourceInput[work_date],$E14))</f>
        <v/>
      </c>
      <c r="L14" s="5">
        <f>IFERROR($K14/$J14,0)</f>
        <v/>
      </c>
      <c r="M14" s="2">
        <f>IF($A14="","",IF($K14&gt;$J14,"OVER","OK"))</f>
        <v/>
      </c>
      <c r="N14" s="2">
        <f>IF($A14="","",MAX($J14-$K14,0))</f>
        <v/>
      </c>
      <c r="O14" s="5">
        <f>IF($F14="","",MAXIFS(tblProgressInput[progress_percent],tblProgressInput[project_id],$F14))</f>
        <v/>
      </c>
      <c r="P14" s="2">
        <f>IF($F14="","",XLOOKUP($F14,tblProgressInput[project_id],tblProgressInput[progress_status],"Not Started",0,-1))</f>
        <v/>
      </c>
      <c r="Q14" s="2">
        <f>IF($F14="","",XLOOKUP($F14,tblProgressInput[project_id],tblProgressInput[issue_flag],"",0,-1))</f>
        <v/>
      </c>
    </row>
    <row r="15">
      <c r="A15" s="2">
        <f>IFERROR(INDEX(tblResourceInput[entry_id],ROW()-1),"")</f>
        <v/>
      </c>
      <c r="B15" s="2">
        <f>IF($A15="","",INDEX(tblResourceInput[employee_id],ROW()-1))</f>
        <v/>
      </c>
      <c r="C15" s="2">
        <f>IF($B15="","",XLOOKUP($B15,tblEmployeeMaster[employee_id],tblEmployeeMaster[employee_name],""))</f>
        <v/>
      </c>
      <c r="D15" s="2">
        <f>IF($B15="","",XLOOKUP($B15,tblEmployeeMaster[employee_id],tblEmployeeMaster[department],""))</f>
        <v/>
      </c>
      <c r="E15" s="2">
        <f>IF($A15="","",INDEX(tblResourceInput[work_date],ROW()-1))</f>
        <v/>
      </c>
      <c r="F15" s="2">
        <f>IF($A15="","",INDEX(tblResourceInput[project_id],ROW()-1))</f>
        <v/>
      </c>
      <c r="G15" s="2">
        <f>IF($F15="","",XLOOKUP($F15,tblProjectMaster[project_id],tblProjectMaster[project_name],""))</f>
        <v/>
      </c>
      <c r="H15" s="2">
        <f>IF($A15="","",INDEX(tblResourceInput[task_name],ROW()-1))</f>
        <v/>
      </c>
      <c r="I15" s="2">
        <f>IF($A15="","",INDEX(tblResourceInput[planned_hours],ROW()-1))</f>
        <v/>
      </c>
      <c r="J15" s="2">
        <f>IF($B15="","",XLOOKUP($B15,tblEmployeeMaster[employee_id],tblEmployeeMaster[daily_capacity_hours],0))</f>
        <v/>
      </c>
      <c r="K15" s="2">
        <f>IF($B15="","",SUMIFS(tblResourceInput[planned_hours],tblResourceInput[employee_id],$B15,tblResourceInput[work_date],$E15))</f>
        <v/>
      </c>
      <c r="L15" s="5">
        <f>IFERROR($K15/$J15,0)</f>
        <v/>
      </c>
      <c r="M15" s="2">
        <f>IF($A15="","",IF($K15&gt;$J15,"OVER","OK"))</f>
        <v/>
      </c>
      <c r="N15" s="2">
        <f>IF($A15="","",MAX($J15-$K15,0))</f>
        <v/>
      </c>
      <c r="O15" s="5">
        <f>IF($F15="","",MAXIFS(tblProgressInput[progress_percent],tblProgressInput[project_id],$F15))</f>
        <v/>
      </c>
      <c r="P15" s="2">
        <f>IF($F15="","",XLOOKUP($F15,tblProgressInput[project_id],tblProgressInput[progress_status],"Not Started",0,-1))</f>
        <v/>
      </c>
      <c r="Q15" s="2">
        <f>IF($F15="","",XLOOKUP($F15,tblProgressInput[project_id],tblProgressInput[issue_flag],"",0,-1))</f>
        <v/>
      </c>
    </row>
    <row r="16">
      <c r="A16" s="2">
        <f>IFERROR(INDEX(tblResourceInput[entry_id],ROW()-1),"")</f>
        <v/>
      </c>
      <c r="B16" s="2">
        <f>IF($A16="","",INDEX(tblResourceInput[employee_id],ROW()-1))</f>
        <v/>
      </c>
      <c r="C16" s="2">
        <f>IF($B16="","",XLOOKUP($B16,tblEmployeeMaster[employee_id],tblEmployeeMaster[employee_name],""))</f>
        <v/>
      </c>
      <c r="D16" s="2">
        <f>IF($B16="","",XLOOKUP($B16,tblEmployeeMaster[employee_id],tblEmployeeMaster[department],""))</f>
        <v/>
      </c>
      <c r="E16" s="2">
        <f>IF($A16="","",INDEX(tblResourceInput[work_date],ROW()-1))</f>
        <v/>
      </c>
      <c r="F16" s="2">
        <f>IF($A16="","",INDEX(tblResourceInput[project_id],ROW()-1))</f>
        <v/>
      </c>
      <c r="G16" s="2">
        <f>IF($F16="","",XLOOKUP($F16,tblProjectMaster[project_id],tblProjectMaster[project_name],""))</f>
        <v/>
      </c>
      <c r="H16" s="2">
        <f>IF($A16="","",INDEX(tblResourceInput[task_name],ROW()-1))</f>
        <v/>
      </c>
      <c r="I16" s="2">
        <f>IF($A16="","",INDEX(tblResourceInput[planned_hours],ROW()-1))</f>
        <v/>
      </c>
      <c r="J16" s="2">
        <f>IF($B16="","",XLOOKUP($B16,tblEmployeeMaster[employee_id],tblEmployeeMaster[daily_capacity_hours],0))</f>
        <v/>
      </c>
      <c r="K16" s="2">
        <f>IF($B16="","",SUMIFS(tblResourceInput[planned_hours],tblResourceInput[employee_id],$B16,tblResourceInput[work_date],$E16))</f>
        <v/>
      </c>
      <c r="L16" s="5">
        <f>IFERROR($K16/$J16,0)</f>
        <v/>
      </c>
      <c r="M16" s="2">
        <f>IF($A16="","",IF($K16&gt;$J16,"OVER","OK"))</f>
        <v/>
      </c>
      <c r="N16" s="2">
        <f>IF($A16="","",MAX($J16-$K16,0))</f>
        <v/>
      </c>
      <c r="O16" s="5">
        <f>IF($F16="","",MAXIFS(tblProgressInput[progress_percent],tblProgressInput[project_id],$F16))</f>
        <v/>
      </c>
      <c r="P16" s="2">
        <f>IF($F16="","",XLOOKUP($F16,tblProgressInput[project_id],tblProgressInput[progress_status],"Not Started",0,-1))</f>
        <v/>
      </c>
      <c r="Q16" s="2">
        <f>IF($F16="","",XLOOKUP($F16,tblProgressInput[project_id],tblProgressInput[issue_flag],"",0,-1))</f>
        <v/>
      </c>
    </row>
    <row r="17">
      <c r="A17" s="2">
        <f>IFERROR(INDEX(tblResourceInput[entry_id],ROW()-1),"")</f>
        <v/>
      </c>
      <c r="B17" s="2">
        <f>IF($A17="","",INDEX(tblResourceInput[employee_id],ROW()-1))</f>
        <v/>
      </c>
      <c r="C17" s="2">
        <f>IF($B17="","",XLOOKUP($B17,tblEmployeeMaster[employee_id],tblEmployeeMaster[employee_name],""))</f>
        <v/>
      </c>
      <c r="D17" s="2">
        <f>IF($B17="","",XLOOKUP($B17,tblEmployeeMaster[employee_id],tblEmployeeMaster[department],""))</f>
        <v/>
      </c>
      <c r="E17" s="2">
        <f>IF($A17="","",INDEX(tblResourceInput[work_date],ROW()-1))</f>
        <v/>
      </c>
      <c r="F17" s="2">
        <f>IF($A17="","",INDEX(tblResourceInput[project_id],ROW()-1))</f>
        <v/>
      </c>
      <c r="G17" s="2">
        <f>IF($F17="","",XLOOKUP($F17,tblProjectMaster[project_id],tblProjectMaster[project_name],""))</f>
        <v/>
      </c>
      <c r="H17" s="2">
        <f>IF($A17="","",INDEX(tblResourceInput[task_name],ROW()-1))</f>
        <v/>
      </c>
      <c r="I17" s="2">
        <f>IF($A17="","",INDEX(tblResourceInput[planned_hours],ROW()-1))</f>
        <v/>
      </c>
      <c r="J17" s="2">
        <f>IF($B17="","",XLOOKUP($B17,tblEmployeeMaster[employee_id],tblEmployeeMaster[daily_capacity_hours],0))</f>
        <v/>
      </c>
      <c r="K17" s="2">
        <f>IF($B17="","",SUMIFS(tblResourceInput[planned_hours],tblResourceInput[employee_id],$B17,tblResourceInput[work_date],$E17))</f>
        <v/>
      </c>
      <c r="L17" s="5">
        <f>IFERROR($K17/$J17,0)</f>
        <v/>
      </c>
      <c r="M17" s="2">
        <f>IF($A17="","",IF($K17&gt;$J17,"OVER","OK"))</f>
        <v/>
      </c>
      <c r="N17" s="2">
        <f>IF($A17="","",MAX($J17-$K17,0))</f>
        <v/>
      </c>
      <c r="O17" s="5">
        <f>IF($F17="","",MAXIFS(tblProgressInput[progress_percent],tblProgressInput[project_id],$F17))</f>
        <v/>
      </c>
      <c r="P17" s="2">
        <f>IF($F17="","",XLOOKUP($F17,tblProgressInput[project_id],tblProgressInput[progress_status],"Not Started",0,-1))</f>
        <v/>
      </c>
      <c r="Q17" s="2">
        <f>IF($F17="","",XLOOKUP($F17,tblProgressInput[project_id],tblProgressInput[issue_flag],"",0,-1))</f>
        <v/>
      </c>
    </row>
    <row r="18">
      <c r="A18" s="2">
        <f>IFERROR(INDEX(tblResourceInput[entry_id],ROW()-1),"")</f>
        <v/>
      </c>
      <c r="B18" s="2">
        <f>IF($A18="","",INDEX(tblResourceInput[employee_id],ROW()-1))</f>
        <v/>
      </c>
      <c r="C18" s="2">
        <f>IF($B18="","",XLOOKUP($B18,tblEmployeeMaster[employee_id],tblEmployeeMaster[employee_name],""))</f>
        <v/>
      </c>
      <c r="D18" s="2">
        <f>IF($B18="","",XLOOKUP($B18,tblEmployeeMaster[employee_id],tblEmployeeMaster[department],""))</f>
        <v/>
      </c>
      <c r="E18" s="2">
        <f>IF($A18="","",INDEX(tblResourceInput[work_date],ROW()-1))</f>
        <v/>
      </c>
      <c r="F18" s="2">
        <f>IF($A18="","",INDEX(tblResourceInput[project_id],ROW()-1))</f>
        <v/>
      </c>
      <c r="G18" s="2">
        <f>IF($F18="","",XLOOKUP($F18,tblProjectMaster[project_id],tblProjectMaster[project_name],""))</f>
        <v/>
      </c>
      <c r="H18" s="2">
        <f>IF($A18="","",INDEX(tblResourceInput[task_name],ROW()-1))</f>
        <v/>
      </c>
      <c r="I18" s="2">
        <f>IF($A18="","",INDEX(tblResourceInput[planned_hours],ROW()-1))</f>
        <v/>
      </c>
      <c r="J18" s="2">
        <f>IF($B18="","",XLOOKUP($B18,tblEmployeeMaster[employee_id],tblEmployeeMaster[daily_capacity_hours],0))</f>
        <v/>
      </c>
      <c r="K18" s="2">
        <f>IF($B18="","",SUMIFS(tblResourceInput[planned_hours],tblResourceInput[employee_id],$B18,tblResourceInput[work_date],$E18))</f>
        <v/>
      </c>
      <c r="L18" s="5">
        <f>IFERROR($K18/$J18,0)</f>
        <v/>
      </c>
      <c r="M18" s="2">
        <f>IF($A18="","",IF($K18&gt;$J18,"OVER","OK"))</f>
        <v/>
      </c>
      <c r="N18" s="2">
        <f>IF($A18="","",MAX($J18-$K18,0))</f>
        <v/>
      </c>
      <c r="O18" s="5">
        <f>IF($F18="","",MAXIFS(tblProgressInput[progress_percent],tblProgressInput[project_id],$F18))</f>
        <v/>
      </c>
      <c r="P18" s="2">
        <f>IF($F18="","",XLOOKUP($F18,tblProgressInput[project_id],tblProgressInput[progress_status],"Not Started",0,-1))</f>
        <v/>
      </c>
      <c r="Q18" s="2">
        <f>IF($F18="","",XLOOKUP($F18,tblProgressInput[project_id],tblProgressInput[issue_flag],"",0,-1))</f>
        <v/>
      </c>
    </row>
    <row r="19">
      <c r="A19" s="2">
        <f>IFERROR(INDEX(tblResourceInput[entry_id],ROW()-1),"")</f>
        <v/>
      </c>
      <c r="B19" s="2">
        <f>IF($A19="","",INDEX(tblResourceInput[employee_id],ROW()-1))</f>
        <v/>
      </c>
      <c r="C19" s="2">
        <f>IF($B19="","",XLOOKUP($B19,tblEmployeeMaster[employee_id],tblEmployeeMaster[employee_name],""))</f>
        <v/>
      </c>
      <c r="D19" s="2">
        <f>IF($B19="","",XLOOKUP($B19,tblEmployeeMaster[employee_id],tblEmployeeMaster[department],""))</f>
        <v/>
      </c>
      <c r="E19" s="2">
        <f>IF($A19="","",INDEX(tblResourceInput[work_date],ROW()-1))</f>
        <v/>
      </c>
      <c r="F19" s="2">
        <f>IF($A19="","",INDEX(tblResourceInput[project_id],ROW()-1))</f>
        <v/>
      </c>
      <c r="G19" s="2">
        <f>IF($F19="","",XLOOKUP($F19,tblProjectMaster[project_id],tblProjectMaster[project_name],""))</f>
        <v/>
      </c>
      <c r="H19" s="2">
        <f>IF($A19="","",INDEX(tblResourceInput[task_name],ROW()-1))</f>
        <v/>
      </c>
      <c r="I19" s="2">
        <f>IF($A19="","",INDEX(tblResourceInput[planned_hours],ROW()-1))</f>
        <v/>
      </c>
      <c r="J19" s="2">
        <f>IF($B19="","",XLOOKUP($B19,tblEmployeeMaster[employee_id],tblEmployeeMaster[daily_capacity_hours],0))</f>
        <v/>
      </c>
      <c r="K19" s="2">
        <f>IF($B19="","",SUMIFS(tblResourceInput[planned_hours],tblResourceInput[employee_id],$B19,tblResourceInput[work_date],$E19))</f>
        <v/>
      </c>
      <c r="L19" s="5">
        <f>IFERROR($K19/$J19,0)</f>
        <v/>
      </c>
      <c r="M19" s="2">
        <f>IF($A19="","",IF($K19&gt;$J19,"OVER","OK"))</f>
        <v/>
      </c>
      <c r="N19" s="2">
        <f>IF($A19="","",MAX($J19-$K19,0))</f>
        <v/>
      </c>
      <c r="O19" s="5">
        <f>IF($F19="","",MAXIFS(tblProgressInput[progress_percent],tblProgressInput[project_id],$F19))</f>
        <v/>
      </c>
      <c r="P19" s="2">
        <f>IF($F19="","",XLOOKUP($F19,tblProgressInput[project_id],tblProgressInput[progress_status],"Not Started",0,-1))</f>
        <v/>
      </c>
      <c r="Q19" s="2">
        <f>IF($F19="","",XLOOKUP($F19,tblProgressInput[project_id],tblProgressInput[issue_flag],"",0,-1))</f>
        <v/>
      </c>
    </row>
    <row r="20">
      <c r="A20" s="2">
        <f>IFERROR(INDEX(tblResourceInput[entry_id],ROW()-1),"")</f>
        <v/>
      </c>
      <c r="B20" s="2">
        <f>IF($A20="","",INDEX(tblResourceInput[employee_id],ROW()-1))</f>
        <v/>
      </c>
      <c r="C20" s="2">
        <f>IF($B20="","",XLOOKUP($B20,tblEmployeeMaster[employee_id],tblEmployeeMaster[employee_name],""))</f>
        <v/>
      </c>
      <c r="D20" s="2">
        <f>IF($B20="","",XLOOKUP($B20,tblEmployeeMaster[employee_id],tblEmployeeMaster[department],""))</f>
        <v/>
      </c>
      <c r="E20" s="2">
        <f>IF($A20="","",INDEX(tblResourceInput[work_date],ROW()-1))</f>
        <v/>
      </c>
      <c r="F20" s="2">
        <f>IF($A20="","",INDEX(tblResourceInput[project_id],ROW()-1))</f>
        <v/>
      </c>
      <c r="G20" s="2">
        <f>IF($F20="","",XLOOKUP($F20,tblProjectMaster[project_id],tblProjectMaster[project_name],""))</f>
        <v/>
      </c>
      <c r="H20" s="2">
        <f>IF($A20="","",INDEX(tblResourceInput[task_name],ROW()-1))</f>
        <v/>
      </c>
      <c r="I20" s="2">
        <f>IF($A20="","",INDEX(tblResourceInput[planned_hours],ROW()-1))</f>
        <v/>
      </c>
      <c r="J20" s="2">
        <f>IF($B20="","",XLOOKUP($B20,tblEmployeeMaster[employee_id],tblEmployeeMaster[daily_capacity_hours],0))</f>
        <v/>
      </c>
      <c r="K20" s="2">
        <f>IF($B20="","",SUMIFS(tblResourceInput[planned_hours],tblResourceInput[employee_id],$B20,tblResourceInput[work_date],$E20))</f>
        <v/>
      </c>
      <c r="L20" s="5">
        <f>IFERROR($K20/$J20,0)</f>
        <v/>
      </c>
      <c r="M20" s="2">
        <f>IF($A20="","",IF($K20&gt;$J20,"OVER","OK"))</f>
        <v/>
      </c>
      <c r="N20" s="2">
        <f>IF($A20="","",MAX($J20-$K20,0))</f>
        <v/>
      </c>
      <c r="O20" s="5">
        <f>IF($F20="","",MAXIFS(tblProgressInput[progress_percent],tblProgressInput[project_id],$F20))</f>
        <v/>
      </c>
      <c r="P20" s="2">
        <f>IF($F20="","",XLOOKUP($F20,tblProgressInput[project_id],tblProgressInput[progress_status],"Not Started",0,-1))</f>
        <v/>
      </c>
      <c r="Q20" s="2">
        <f>IF($F20="","",XLOOKUP($F20,tblProgressInput[project_id],tblProgressInput[issue_flag],"",0,-1))</f>
        <v/>
      </c>
    </row>
    <row r="21">
      <c r="A21" s="2">
        <f>IFERROR(INDEX(tblResourceInput[entry_id],ROW()-1),"")</f>
        <v/>
      </c>
      <c r="B21" s="2">
        <f>IF($A21="","",INDEX(tblResourceInput[employee_id],ROW()-1))</f>
        <v/>
      </c>
      <c r="C21" s="2">
        <f>IF($B21="","",XLOOKUP($B21,tblEmployeeMaster[employee_id],tblEmployeeMaster[employee_name],""))</f>
        <v/>
      </c>
      <c r="D21" s="2">
        <f>IF($B21="","",XLOOKUP($B21,tblEmployeeMaster[employee_id],tblEmployeeMaster[department],""))</f>
        <v/>
      </c>
      <c r="E21" s="2">
        <f>IF($A21="","",INDEX(tblResourceInput[work_date],ROW()-1))</f>
        <v/>
      </c>
      <c r="F21" s="2">
        <f>IF($A21="","",INDEX(tblResourceInput[project_id],ROW()-1))</f>
        <v/>
      </c>
      <c r="G21" s="2">
        <f>IF($F21="","",XLOOKUP($F21,tblProjectMaster[project_id],tblProjectMaster[project_name],""))</f>
        <v/>
      </c>
      <c r="H21" s="2">
        <f>IF($A21="","",INDEX(tblResourceInput[task_name],ROW()-1))</f>
        <v/>
      </c>
      <c r="I21" s="2">
        <f>IF($A21="","",INDEX(tblResourceInput[planned_hours],ROW()-1))</f>
        <v/>
      </c>
      <c r="J21" s="2">
        <f>IF($B21="","",XLOOKUP($B21,tblEmployeeMaster[employee_id],tblEmployeeMaster[daily_capacity_hours],0))</f>
        <v/>
      </c>
      <c r="K21" s="2">
        <f>IF($B21="","",SUMIFS(tblResourceInput[planned_hours],tblResourceInput[employee_id],$B21,tblResourceInput[work_date],$E21))</f>
        <v/>
      </c>
      <c r="L21" s="5">
        <f>IFERROR($K21/$J21,0)</f>
        <v/>
      </c>
      <c r="M21" s="2">
        <f>IF($A21="","",IF($K21&gt;$J21,"OVER","OK"))</f>
        <v/>
      </c>
      <c r="N21" s="2">
        <f>IF($A21="","",MAX($J21-$K21,0))</f>
        <v/>
      </c>
      <c r="O21" s="5">
        <f>IF($F21="","",MAXIFS(tblProgressInput[progress_percent],tblProgressInput[project_id],$F21))</f>
        <v/>
      </c>
      <c r="P21" s="2">
        <f>IF($F21="","",XLOOKUP($F21,tblProgressInput[project_id],tblProgressInput[progress_status],"Not Started",0,-1))</f>
        <v/>
      </c>
      <c r="Q21" s="2">
        <f>IF($F21="","",XLOOKUP($F21,tblProgressInput[project_id],tblProgressInput[issue_flag],"",0,-1))</f>
        <v/>
      </c>
    </row>
    <row r="22">
      <c r="A22" s="2">
        <f>IFERROR(INDEX(tblResourceInput[entry_id],ROW()-1),"")</f>
        <v/>
      </c>
      <c r="B22" s="2">
        <f>IF($A22="","",INDEX(tblResourceInput[employee_id],ROW()-1))</f>
        <v/>
      </c>
      <c r="C22" s="2">
        <f>IF($B22="","",XLOOKUP($B22,tblEmployeeMaster[employee_id],tblEmployeeMaster[employee_name],""))</f>
        <v/>
      </c>
      <c r="D22" s="2">
        <f>IF($B22="","",XLOOKUP($B22,tblEmployeeMaster[employee_id],tblEmployeeMaster[department],""))</f>
        <v/>
      </c>
      <c r="E22" s="2">
        <f>IF($A22="","",INDEX(tblResourceInput[work_date],ROW()-1))</f>
        <v/>
      </c>
      <c r="F22" s="2">
        <f>IF($A22="","",INDEX(tblResourceInput[project_id],ROW()-1))</f>
        <v/>
      </c>
      <c r="G22" s="2">
        <f>IF($F22="","",XLOOKUP($F22,tblProjectMaster[project_id],tblProjectMaster[project_name],""))</f>
        <v/>
      </c>
      <c r="H22" s="2">
        <f>IF($A22="","",INDEX(tblResourceInput[task_name],ROW()-1))</f>
        <v/>
      </c>
      <c r="I22" s="2">
        <f>IF($A22="","",INDEX(tblResourceInput[planned_hours],ROW()-1))</f>
        <v/>
      </c>
      <c r="J22" s="2">
        <f>IF($B22="","",XLOOKUP($B22,tblEmployeeMaster[employee_id],tblEmployeeMaster[daily_capacity_hours],0))</f>
        <v/>
      </c>
      <c r="K22" s="2">
        <f>IF($B22="","",SUMIFS(tblResourceInput[planned_hours],tblResourceInput[employee_id],$B22,tblResourceInput[work_date],$E22))</f>
        <v/>
      </c>
      <c r="L22" s="5">
        <f>IFERROR($K22/$J22,0)</f>
        <v/>
      </c>
      <c r="M22" s="2">
        <f>IF($A22="","",IF($K22&gt;$J22,"OVER","OK"))</f>
        <v/>
      </c>
      <c r="N22" s="2">
        <f>IF($A22="","",MAX($J22-$K22,0))</f>
        <v/>
      </c>
      <c r="O22" s="5">
        <f>IF($F22="","",MAXIFS(tblProgressInput[progress_percent],tblProgressInput[project_id],$F22))</f>
        <v/>
      </c>
      <c r="P22" s="2">
        <f>IF($F22="","",XLOOKUP($F22,tblProgressInput[project_id],tblProgressInput[progress_status],"Not Started",0,-1))</f>
        <v/>
      </c>
      <c r="Q22" s="2">
        <f>IF($F22="","",XLOOKUP($F22,tblProgressInput[project_id],tblProgressInput[issue_flag],"",0,-1))</f>
        <v/>
      </c>
    </row>
    <row r="23">
      <c r="A23" s="2">
        <f>IFERROR(INDEX(tblResourceInput[entry_id],ROW()-1),"")</f>
        <v/>
      </c>
      <c r="B23" s="2">
        <f>IF($A23="","",INDEX(tblResourceInput[employee_id],ROW()-1))</f>
        <v/>
      </c>
      <c r="C23" s="2">
        <f>IF($B23="","",XLOOKUP($B23,tblEmployeeMaster[employee_id],tblEmployeeMaster[employee_name],""))</f>
        <v/>
      </c>
      <c r="D23" s="2">
        <f>IF($B23="","",XLOOKUP($B23,tblEmployeeMaster[employee_id],tblEmployeeMaster[department],""))</f>
        <v/>
      </c>
      <c r="E23" s="2">
        <f>IF($A23="","",INDEX(tblResourceInput[work_date],ROW()-1))</f>
        <v/>
      </c>
      <c r="F23" s="2">
        <f>IF($A23="","",INDEX(tblResourceInput[project_id],ROW()-1))</f>
        <v/>
      </c>
      <c r="G23" s="2">
        <f>IF($F23="","",XLOOKUP($F23,tblProjectMaster[project_id],tblProjectMaster[project_name],""))</f>
        <v/>
      </c>
      <c r="H23" s="2">
        <f>IF($A23="","",INDEX(tblResourceInput[task_name],ROW()-1))</f>
        <v/>
      </c>
      <c r="I23" s="2">
        <f>IF($A23="","",INDEX(tblResourceInput[planned_hours],ROW()-1))</f>
        <v/>
      </c>
      <c r="J23" s="2">
        <f>IF($B23="","",XLOOKUP($B23,tblEmployeeMaster[employee_id],tblEmployeeMaster[daily_capacity_hours],0))</f>
        <v/>
      </c>
      <c r="K23" s="2">
        <f>IF($B23="","",SUMIFS(tblResourceInput[planned_hours],tblResourceInput[employee_id],$B23,tblResourceInput[work_date],$E23))</f>
        <v/>
      </c>
      <c r="L23" s="5">
        <f>IFERROR($K23/$J23,0)</f>
        <v/>
      </c>
      <c r="M23" s="2">
        <f>IF($A23="","",IF($K23&gt;$J23,"OVER","OK"))</f>
        <v/>
      </c>
      <c r="N23" s="2">
        <f>IF($A23="","",MAX($J23-$K23,0))</f>
        <v/>
      </c>
      <c r="O23" s="5">
        <f>IF($F23="","",MAXIFS(tblProgressInput[progress_percent],tblProgressInput[project_id],$F23))</f>
        <v/>
      </c>
      <c r="P23" s="2">
        <f>IF($F23="","",XLOOKUP($F23,tblProgressInput[project_id],tblProgressInput[progress_status],"Not Started",0,-1))</f>
        <v/>
      </c>
      <c r="Q23" s="2">
        <f>IF($F23="","",XLOOKUP($F23,tblProgressInput[project_id],tblProgressInput[issue_flag],"",0,-1))</f>
        <v/>
      </c>
    </row>
    <row r="24">
      <c r="A24" s="2">
        <f>IFERROR(INDEX(tblResourceInput[entry_id],ROW()-1),"")</f>
        <v/>
      </c>
      <c r="B24" s="2">
        <f>IF($A24="","",INDEX(tblResourceInput[employee_id],ROW()-1))</f>
        <v/>
      </c>
      <c r="C24" s="2">
        <f>IF($B24="","",XLOOKUP($B24,tblEmployeeMaster[employee_id],tblEmployeeMaster[employee_name],""))</f>
        <v/>
      </c>
      <c r="D24" s="2">
        <f>IF($B24="","",XLOOKUP($B24,tblEmployeeMaster[employee_id],tblEmployeeMaster[department],""))</f>
        <v/>
      </c>
      <c r="E24" s="2">
        <f>IF($A24="","",INDEX(tblResourceInput[work_date],ROW()-1))</f>
        <v/>
      </c>
      <c r="F24" s="2">
        <f>IF($A24="","",INDEX(tblResourceInput[project_id],ROW()-1))</f>
        <v/>
      </c>
      <c r="G24" s="2">
        <f>IF($F24="","",XLOOKUP($F24,tblProjectMaster[project_id],tblProjectMaster[project_name],""))</f>
        <v/>
      </c>
      <c r="H24" s="2">
        <f>IF($A24="","",INDEX(tblResourceInput[task_name],ROW()-1))</f>
        <v/>
      </c>
      <c r="I24" s="2">
        <f>IF($A24="","",INDEX(tblResourceInput[planned_hours],ROW()-1))</f>
        <v/>
      </c>
      <c r="J24" s="2">
        <f>IF($B24="","",XLOOKUP($B24,tblEmployeeMaster[employee_id],tblEmployeeMaster[daily_capacity_hours],0))</f>
        <v/>
      </c>
      <c r="K24" s="2">
        <f>IF($B24="","",SUMIFS(tblResourceInput[planned_hours],tblResourceInput[employee_id],$B24,tblResourceInput[work_date],$E24))</f>
        <v/>
      </c>
      <c r="L24" s="5">
        <f>IFERROR($K24/$J24,0)</f>
        <v/>
      </c>
      <c r="M24" s="2">
        <f>IF($A24="","",IF($K24&gt;$J24,"OVER","OK"))</f>
        <v/>
      </c>
      <c r="N24" s="2">
        <f>IF($A24="","",MAX($J24-$K24,0))</f>
        <v/>
      </c>
      <c r="O24" s="5">
        <f>IF($F24="","",MAXIFS(tblProgressInput[progress_percent],tblProgressInput[project_id],$F24))</f>
        <v/>
      </c>
      <c r="P24" s="2">
        <f>IF($F24="","",XLOOKUP($F24,tblProgressInput[project_id],tblProgressInput[progress_status],"Not Started",0,-1))</f>
        <v/>
      </c>
      <c r="Q24" s="2">
        <f>IF($F24="","",XLOOKUP($F24,tblProgressInput[project_id],tblProgressInput[issue_flag],"",0,-1))</f>
        <v/>
      </c>
    </row>
    <row r="25">
      <c r="A25" s="2">
        <f>IFERROR(INDEX(tblResourceInput[entry_id],ROW()-1),"")</f>
        <v/>
      </c>
      <c r="B25" s="2">
        <f>IF($A25="","",INDEX(tblResourceInput[employee_id],ROW()-1))</f>
        <v/>
      </c>
      <c r="C25" s="2">
        <f>IF($B25="","",XLOOKUP($B25,tblEmployeeMaster[employee_id],tblEmployeeMaster[employee_name],""))</f>
        <v/>
      </c>
      <c r="D25" s="2">
        <f>IF($B25="","",XLOOKUP($B25,tblEmployeeMaster[employee_id],tblEmployeeMaster[department],""))</f>
        <v/>
      </c>
      <c r="E25" s="2">
        <f>IF($A25="","",INDEX(tblResourceInput[work_date],ROW()-1))</f>
        <v/>
      </c>
      <c r="F25" s="2">
        <f>IF($A25="","",INDEX(tblResourceInput[project_id],ROW()-1))</f>
        <v/>
      </c>
      <c r="G25" s="2">
        <f>IF($F25="","",XLOOKUP($F25,tblProjectMaster[project_id],tblProjectMaster[project_name],""))</f>
        <v/>
      </c>
      <c r="H25" s="2">
        <f>IF($A25="","",INDEX(tblResourceInput[task_name],ROW()-1))</f>
        <v/>
      </c>
      <c r="I25" s="2">
        <f>IF($A25="","",INDEX(tblResourceInput[planned_hours],ROW()-1))</f>
        <v/>
      </c>
      <c r="J25" s="2">
        <f>IF($B25="","",XLOOKUP($B25,tblEmployeeMaster[employee_id],tblEmployeeMaster[daily_capacity_hours],0))</f>
        <v/>
      </c>
      <c r="K25" s="2">
        <f>IF($B25="","",SUMIFS(tblResourceInput[planned_hours],tblResourceInput[employee_id],$B25,tblResourceInput[work_date],$E25))</f>
        <v/>
      </c>
      <c r="L25" s="5">
        <f>IFERROR($K25/$J25,0)</f>
        <v/>
      </c>
      <c r="M25" s="2">
        <f>IF($A25="","",IF($K25&gt;$J25,"OVER","OK"))</f>
        <v/>
      </c>
      <c r="N25" s="2">
        <f>IF($A25="","",MAX($J25-$K25,0))</f>
        <v/>
      </c>
      <c r="O25" s="5">
        <f>IF($F25="","",MAXIFS(tblProgressInput[progress_percent],tblProgressInput[project_id],$F25))</f>
        <v/>
      </c>
      <c r="P25" s="2">
        <f>IF($F25="","",XLOOKUP($F25,tblProgressInput[project_id],tblProgressInput[progress_status],"Not Started",0,-1))</f>
        <v/>
      </c>
      <c r="Q25" s="2">
        <f>IF($F25="","",XLOOKUP($F25,tblProgressInput[project_id],tblProgressInput[issue_flag],"",0,-1))</f>
        <v/>
      </c>
    </row>
    <row r="26">
      <c r="A26" s="2">
        <f>IFERROR(INDEX(tblResourceInput[entry_id],ROW()-1),"")</f>
        <v/>
      </c>
      <c r="B26" s="2">
        <f>IF($A26="","",INDEX(tblResourceInput[employee_id],ROW()-1))</f>
        <v/>
      </c>
      <c r="C26" s="2">
        <f>IF($B26="","",XLOOKUP($B26,tblEmployeeMaster[employee_id],tblEmployeeMaster[employee_name],""))</f>
        <v/>
      </c>
      <c r="D26" s="2">
        <f>IF($B26="","",XLOOKUP($B26,tblEmployeeMaster[employee_id],tblEmployeeMaster[department],""))</f>
        <v/>
      </c>
      <c r="E26" s="2">
        <f>IF($A26="","",INDEX(tblResourceInput[work_date],ROW()-1))</f>
        <v/>
      </c>
      <c r="F26" s="2">
        <f>IF($A26="","",INDEX(tblResourceInput[project_id],ROW()-1))</f>
        <v/>
      </c>
      <c r="G26" s="2">
        <f>IF($F26="","",XLOOKUP($F26,tblProjectMaster[project_id],tblProjectMaster[project_name],""))</f>
        <v/>
      </c>
      <c r="H26" s="2">
        <f>IF($A26="","",INDEX(tblResourceInput[task_name],ROW()-1))</f>
        <v/>
      </c>
      <c r="I26" s="2">
        <f>IF($A26="","",INDEX(tblResourceInput[planned_hours],ROW()-1))</f>
        <v/>
      </c>
      <c r="J26" s="2">
        <f>IF($B26="","",XLOOKUP($B26,tblEmployeeMaster[employee_id],tblEmployeeMaster[daily_capacity_hours],0))</f>
        <v/>
      </c>
      <c r="K26" s="2">
        <f>IF($B26="","",SUMIFS(tblResourceInput[planned_hours],tblResourceInput[employee_id],$B26,tblResourceInput[work_date],$E26))</f>
        <v/>
      </c>
      <c r="L26" s="5">
        <f>IFERROR($K26/$J26,0)</f>
        <v/>
      </c>
      <c r="M26" s="2">
        <f>IF($A26="","",IF($K26&gt;$J26,"OVER","OK"))</f>
        <v/>
      </c>
      <c r="N26" s="2">
        <f>IF($A26="","",MAX($J26-$K26,0))</f>
        <v/>
      </c>
      <c r="O26" s="5">
        <f>IF($F26="","",MAXIFS(tblProgressInput[progress_percent],tblProgressInput[project_id],$F26))</f>
        <v/>
      </c>
      <c r="P26" s="2">
        <f>IF($F26="","",XLOOKUP($F26,tblProgressInput[project_id],tblProgressInput[progress_status],"Not Started",0,-1))</f>
        <v/>
      </c>
      <c r="Q26" s="2">
        <f>IF($F26="","",XLOOKUP($F26,tblProgressInput[project_id],tblProgressInput[issue_flag],"",0,-1))</f>
        <v/>
      </c>
    </row>
    <row r="27">
      <c r="A27" s="2">
        <f>IFERROR(INDEX(tblResourceInput[entry_id],ROW()-1),"")</f>
        <v/>
      </c>
      <c r="B27" s="2">
        <f>IF($A27="","",INDEX(tblResourceInput[employee_id],ROW()-1))</f>
        <v/>
      </c>
      <c r="C27" s="2">
        <f>IF($B27="","",XLOOKUP($B27,tblEmployeeMaster[employee_id],tblEmployeeMaster[employee_name],""))</f>
        <v/>
      </c>
      <c r="D27" s="2">
        <f>IF($B27="","",XLOOKUP($B27,tblEmployeeMaster[employee_id],tblEmployeeMaster[department],""))</f>
        <v/>
      </c>
      <c r="E27" s="2">
        <f>IF($A27="","",INDEX(tblResourceInput[work_date],ROW()-1))</f>
        <v/>
      </c>
      <c r="F27" s="2">
        <f>IF($A27="","",INDEX(tblResourceInput[project_id],ROW()-1))</f>
        <v/>
      </c>
      <c r="G27" s="2">
        <f>IF($F27="","",XLOOKUP($F27,tblProjectMaster[project_id],tblProjectMaster[project_name],""))</f>
        <v/>
      </c>
      <c r="H27" s="2">
        <f>IF($A27="","",INDEX(tblResourceInput[task_name],ROW()-1))</f>
        <v/>
      </c>
      <c r="I27" s="2">
        <f>IF($A27="","",INDEX(tblResourceInput[planned_hours],ROW()-1))</f>
        <v/>
      </c>
      <c r="J27" s="2">
        <f>IF($B27="","",XLOOKUP($B27,tblEmployeeMaster[employee_id],tblEmployeeMaster[daily_capacity_hours],0))</f>
        <v/>
      </c>
      <c r="K27" s="2">
        <f>IF($B27="","",SUMIFS(tblResourceInput[planned_hours],tblResourceInput[employee_id],$B27,tblResourceInput[work_date],$E27))</f>
        <v/>
      </c>
      <c r="L27" s="5">
        <f>IFERROR($K27/$J27,0)</f>
        <v/>
      </c>
      <c r="M27" s="2">
        <f>IF($A27="","",IF($K27&gt;$J27,"OVER","OK"))</f>
        <v/>
      </c>
      <c r="N27" s="2">
        <f>IF($A27="","",MAX($J27-$K27,0))</f>
        <v/>
      </c>
      <c r="O27" s="5">
        <f>IF($F27="","",MAXIFS(tblProgressInput[progress_percent],tblProgressInput[project_id],$F27))</f>
        <v/>
      </c>
      <c r="P27" s="2">
        <f>IF($F27="","",XLOOKUP($F27,tblProgressInput[project_id],tblProgressInput[progress_status],"Not Started",0,-1))</f>
        <v/>
      </c>
      <c r="Q27" s="2">
        <f>IF($F27="","",XLOOKUP($F27,tblProgressInput[project_id],tblProgressInput[issue_flag],"",0,-1))</f>
        <v/>
      </c>
    </row>
    <row r="28">
      <c r="A28" s="2">
        <f>IFERROR(INDEX(tblResourceInput[entry_id],ROW()-1),"")</f>
        <v/>
      </c>
      <c r="B28" s="2">
        <f>IF($A28="","",INDEX(tblResourceInput[employee_id],ROW()-1))</f>
        <v/>
      </c>
      <c r="C28" s="2">
        <f>IF($B28="","",XLOOKUP($B28,tblEmployeeMaster[employee_id],tblEmployeeMaster[employee_name],""))</f>
        <v/>
      </c>
      <c r="D28" s="2">
        <f>IF($B28="","",XLOOKUP($B28,tblEmployeeMaster[employee_id],tblEmployeeMaster[department],""))</f>
        <v/>
      </c>
      <c r="E28" s="2">
        <f>IF($A28="","",INDEX(tblResourceInput[work_date],ROW()-1))</f>
        <v/>
      </c>
      <c r="F28" s="2">
        <f>IF($A28="","",INDEX(tblResourceInput[project_id],ROW()-1))</f>
        <v/>
      </c>
      <c r="G28" s="2">
        <f>IF($F28="","",XLOOKUP($F28,tblProjectMaster[project_id],tblProjectMaster[project_name],""))</f>
        <v/>
      </c>
      <c r="H28" s="2">
        <f>IF($A28="","",INDEX(tblResourceInput[task_name],ROW()-1))</f>
        <v/>
      </c>
      <c r="I28" s="2">
        <f>IF($A28="","",INDEX(tblResourceInput[planned_hours],ROW()-1))</f>
        <v/>
      </c>
      <c r="J28" s="2">
        <f>IF($B28="","",XLOOKUP($B28,tblEmployeeMaster[employee_id],tblEmployeeMaster[daily_capacity_hours],0))</f>
        <v/>
      </c>
      <c r="K28" s="2">
        <f>IF($B28="","",SUMIFS(tblResourceInput[planned_hours],tblResourceInput[employee_id],$B28,tblResourceInput[work_date],$E28))</f>
        <v/>
      </c>
      <c r="L28" s="5">
        <f>IFERROR($K28/$J28,0)</f>
        <v/>
      </c>
      <c r="M28" s="2">
        <f>IF($A28="","",IF($K28&gt;$J28,"OVER","OK"))</f>
        <v/>
      </c>
      <c r="N28" s="2">
        <f>IF($A28="","",MAX($J28-$K28,0))</f>
        <v/>
      </c>
      <c r="O28" s="5">
        <f>IF($F28="","",MAXIFS(tblProgressInput[progress_percent],tblProgressInput[project_id],$F28))</f>
        <v/>
      </c>
      <c r="P28" s="2">
        <f>IF($F28="","",XLOOKUP($F28,tblProgressInput[project_id],tblProgressInput[progress_status],"Not Started",0,-1))</f>
        <v/>
      </c>
      <c r="Q28" s="2">
        <f>IF($F28="","",XLOOKUP($F28,tblProgressInput[project_id],tblProgressInput[issue_flag],"",0,-1))</f>
        <v/>
      </c>
    </row>
    <row r="29">
      <c r="A29" s="2">
        <f>IFERROR(INDEX(tblResourceInput[entry_id],ROW()-1),"")</f>
        <v/>
      </c>
      <c r="B29" s="2">
        <f>IF($A29="","",INDEX(tblResourceInput[employee_id],ROW()-1))</f>
        <v/>
      </c>
      <c r="C29" s="2">
        <f>IF($B29="","",XLOOKUP($B29,tblEmployeeMaster[employee_id],tblEmployeeMaster[employee_name],""))</f>
        <v/>
      </c>
      <c r="D29" s="2">
        <f>IF($B29="","",XLOOKUP($B29,tblEmployeeMaster[employee_id],tblEmployeeMaster[department],""))</f>
        <v/>
      </c>
      <c r="E29" s="2">
        <f>IF($A29="","",INDEX(tblResourceInput[work_date],ROW()-1))</f>
        <v/>
      </c>
      <c r="F29" s="2">
        <f>IF($A29="","",INDEX(tblResourceInput[project_id],ROW()-1))</f>
        <v/>
      </c>
      <c r="G29" s="2">
        <f>IF($F29="","",XLOOKUP($F29,tblProjectMaster[project_id],tblProjectMaster[project_name],""))</f>
        <v/>
      </c>
      <c r="H29" s="2">
        <f>IF($A29="","",INDEX(tblResourceInput[task_name],ROW()-1))</f>
        <v/>
      </c>
      <c r="I29" s="2">
        <f>IF($A29="","",INDEX(tblResourceInput[planned_hours],ROW()-1))</f>
        <v/>
      </c>
      <c r="J29" s="2">
        <f>IF($B29="","",XLOOKUP($B29,tblEmployeeMaster[employee_id],tblEmployeeMaster[daily_capacity_hours],0))</f>
        <v/>
      </c>
      <c r="K29" s="2">
        <f>IF($B29="","",SUMIFS(tblResourceInput[planned_hours],tblResourceInput[employee_id],$B29,tblResourceInput[work_date],$E29))</f>
        <v/>
      </c>
      <c r="L29" s="5">
        <f>IFERROR($K29/$J29,0)</f>
        <v/>
      </c>
      <c r="M29" s="2">
        <f>IF($A29="","",IF($K29&gt;$J29,"OVER","OK"))</f>
        <v/>
      </c>
      <c r="N29" s="2">
        <f>IF($A29="","",MAX($J29-$K29,0))</f>
        <v/>
      </c>
      <c r="O29" s="5">
        <f>IF($F29="","",MAXIFS(tblProgressInput[progress_percent],tblProgressInput[project_id],$F29))</f>
        <v/>
      </c>
      <c r="P29" s="2">
        <f>IF($F29="","",XLOOKUP($F29,tblProgressInput[project_id],tblProgressInput[progress_status],"Not Started",0,-1))</f>
        <v/>
      </c>
      <c r="Q29" s="2">
        <f>IF($F29="","",XLOOKUP($F29,tblProgressInput[project_id],tblProgressInput[issue_flag],"",0,-1))</f>
        <v/>
      </c>
    </row>
    <row r="30">
      <c r="A30" s="2">
        <f>IFERROR(INDEX(tblResourceInput[entry_id],ROW()-1),"")</f>
        <v/>
      </c>
      <c r="B30" s="2">
        <f>IF($A30="","",INDEX(tblResourceInput[employee_id],ROW()-1))</f>
        <v/>
      </c>
      <c r="C30" s="2">
        <f>IF($B30="","",XLOOKUP($B30,tblEmployeeMaster[employee_id],tblEmployeeMaster[employee_name],""))</f>
        <v/>
      </c>
      <c r="D30" s="2">
        <f>IF($B30="","",XLOOKUP($B30,tblEmployeeMaster[employee_id],tblEmployeeMaster[department],""))</f>
        <v/>
      </c>
      <c r="E30" s="2">
        <f>IF($A30="","",INDEX(tblResourceInput[work_date],ROW()-1))</f>
        <v/>
      </c>
      <c r="F30" s="2">
        <f>IF($A30="","",INDEX(tblResourceInput[project_id],ROW()-1))</f>
        <v/>
      </c>
      <c r="G30" s="2">
        <f>IF($F30="","",XLOOKUP($F30,tblProjectMaster[project_id],tblProjectMaster[project_name],""))</f>
        <v/>
      </c>
      <c r="H30" s="2">
        <f>IF($A30="","",INDEX(tblResourceInput[task_name],ROW()-1))</f>
        <v/>
      </c>
      <c r="I30" s="2">
        <f>IF($A30="","",INDEX(tblResourceInput[planned_hours],ROW()-1))</f>
        <v/>
      </c>
      <c r="J30" s="2">
        <f>IF($B30="","",XLOOKUP($B30,tblEmployeeMaster[employee_id],tblEmployeeMaster[daily_capacity_hours],0))</f>
        <v/>
      </c>
      <c r="K30" s="2">
        <f>IF($B30="","",SUMIFS(tblResourceInput[planned_hours],tblResourceInput[employee_id],$B30,tblResourceInput[work_date],$E30))</f>
        <v/>
      </c>
      <c r="L30" s="5">
        <f>IFERROR($K30/$J30,0)</f>
        <v/>
      </c>
      <c r="M30" s="2">
        <f>IF($A30="","",IF($K30&gt;$J30,"OVER","OK"))</f>
        <v/>
      </c>
      <c r="N30" s="2">
        <f>IF($A30="","",MAX($J30-$K30,0))</f>
        <v/>
      </c>
      <c r="O30" s="5">
        <f>IF($F30="","",MAXIFS(tblProgressInput[progress_percent],tblProgressInput[project_id],$F30))</f>
        <v/>
      </c>
      <c r="P30" s="2">
        <f>IF($F30="","",XLOOKUP($F30,tblProgressInput[project_id],tblProgressInput[progress_status],"Not Started",0,-1))</f>
        <v/>
      </c>
      <c r="Q30" s="2">
        <f>IF($F30="","",XLOOKUP($F30,tblProgressInput[project_id],tblProgressInput[issue_flag],"",0,-1))</f>
        <v/>
      </c>
    </row>
    <row r="31">
      <c r="A31" s="2">
        <f>IFERROR(INDEX(tblResourceInput[entry_id],ROW()-1),"")</f>
        <v/>
      </c>
      <c r="B31" s="2">
        <f>IF($A31="","",INDEX(tblResourceInput[employee_id],ROW()-1))</f>
        <v/>
      </c>
      <c r="C31" s="2">
        <f>IF($B31="","",XLOOKUP($B31,tblEmployeeMaster[employee_id],tblEmployeeMaster[employee_name],""))</f>
        <v/>
      </c>
      <c r="D31" s="2">
        <f>IF($B31="","",XLOOKUP($B31,tblEmployeeMaster[employee_id],tblEmployeeMaster[department],""))</f>
        <v/>
      </c>
      <c r="E31" s="2">
        <f>IF($A31="","",INDEX(tblResourceInput[work_date],ROW()-1))</f>
        <v/>
      </c>
      <c r="F31" s="2">
        <f>IF($A31="","",INDEX(tblResourceInput[project_id],ROW()-1))</f>
        <v/>
      </c>
      <c r="G31" s="2">
        <f>IF($F31="","",XLOOKUP($F31,tblProjectMaster[project_id],tblProjectMaster[project_name],""))</f>
        <v/>
      </c>
      <c r="H31" s="2">
        <f>IF($A31="","",INDEX(tblResourceInput[task_name],ROW()-1))</f>
        <v/>
      </c>
      <c r="I31" s="2">
        <f>IF($A31="","",INDEX(tblResourceInput[planned_hours],ROW()-1))</f>
        <v/>
      </c>
      <c r="J31" s="2">
        <f>IF($B31="","",XLOOKUP($B31,tblEmployeeMaster[employee_id],tblEmployeeMaster[daily_capacity_hours],0))</f>
        <v/>
      </c>
      <c r="K31" s="2">
        <f>IF($B31="","",SUMIFS(tblResourceInput[planned_hours],tblResourceInput[employee_id],$B31,tblResourceInput[work_date],$E31))</f>
        <v/>
      </c>
      <c r="L31" s="5">
        <f>IFERROR($K31/$J31,0)</f>
        <v/>
      </c>
      <c r="M31" s="2">
        <f>IF($A31="","",IF($K31&gt;$J31,"OVER","OK"))</f>
        <v/>
      </c>
      <c r="N31" s="2">
        <f>IF($A31="","",MAX($J31-$K31,0))</f>
        <v/>
      </c>
      <c r="O31" s="5">
        <f>IF($F31="","",MAXIFS(tblProgressInput[progress_percent],tblProgressInput[project_id],$F31))</f>
        <v/>
      </c>
      <c r="P31" s="2">
        <f>IF($F31="","",XLOOKUP($F31,tblProgressInput[project_id],tblProgressInput[progress_status],"Not Started",0,-1))</f>
        <v/>
      </c>
      <c r="Q31" s="2">
        <f>IF($F31="","",XLOOKUP($F31,tblProgressInput[project_id],tblProgressInput[issue_flag],"",0,-1))</f>
        <v/>
      </c>
    </row>
    <row r="32">
      <c r="A32" s="2">
        <f>IFERROR(INDEX(tblResourceInput[entry_id],ROW()-1),"")</f>
        <v/>
      </c>
      <c r="B32" s="2">
        <f>IF($A32="","",INDEX(tblResourceInput[employee_id],ROW()-1))</f>
        <v/>
      </c>
      <c r="C32" s="2">
        <f>IF($B32="","",XLOOKUP($B32,tblEmployeeMaster[employee_id],tblEmployeeMaster[employee_name],""))</f>
        <v/>
      </c>
      <c r="D32" s="2">
        <f>IF($B32="","",XLOOKUP($B32,tblEmployeeMaster[employee_id],tblEmployeeMaster[department],""))</f>
        <v/>
      </c>
      <c r="E32" s="2">
        <f>IF($A32="","",INDEX(tblResourceInput[work_date],ROW()-1))</f>
        <v/>
      </c>
      <c r="F32" s="2">
        <f>IF($A32="","",INDEX(tblResourceInput[project_id],ROW()-1))</f>
        <v/>
      </c>
      <c r="G32" s="2">
        <f>IF($F32="","",XLOOKUP($F32,tblProjectMaster[project_id],tblProjectMaster[project_name],""))</f>
        <v/>
      </c>
      <c r="H32" s="2">
        <f>IF($A32="","",INDEX(tblResourceInput[task_name],ROW()-1))</f>
        <v/>
      </c>
      <c r="I32" s="2">
        <f>IF($A32="","",INDEX(tblResourceInput[planned_hours],ROW()-1))</f>
        <v/>
      </c>
      <c r="J32" s="2">
        <f>IF($B32="","",XLOOKUP($B32,tblEmployeeMaster[employee_id],tblEmployeeMaster[daily_capacity_hours],0))</f>
        <v/>
      </c>
      <c r="K32" s="2">
        <f>IF($B32="","",SUMIFS(tblResourceInput[planned_hours],tblResourceInput[employee_id],$B32,tblResourceInput[work_date],$E32))</f>
        <v/>
      </c>
      <c r="L32" s="5">
        <f>IFERROR($K32/$J32,0)</f>
        <v/>
      </c>
      <c r="M32" s="2">
        <f>IF($A32="","",IF($K32&gt;$J32,"OVER","OK"))</f>
        <v/>
      </c>
      <c r="N32" s="2">
        <f>IF($A32="","",MAX($J32-$K32,0))</f>
        <v/>
      </c>
      <c r="O32" s="5">
        <f>IF($F32="","",MAXIFS(tblProgressInput[progress_percent],tblProgressInput[project_id],$F32))</f>
        <v/>
      </c>
      <c r="P32" s="2">
        <f>IF($F32="","",XLOOKUP($F32,tblProgressInput[project_id],tblProgressInput[progress_status],"Not Started",0,-1))</f>
        <v/>
      </c>
      <c r="Q32" s="2">
        <f>IF($F32="","",XLOOKUP($F32,tblProgressInput[project_id],tblProgressInput[issue_flag],"",0,-1))</f>
        <v/>
      </c>
    </row>
    <row r="33">
      <c r="A33" s="2">
        <f>IFERROR(INDEX(tblResourceInput[entry_id],ROW()-1),"")</f>
        <v/>
      </c>
      <c r="B33" s="2">
        <f>IF($A33="","",INDEX(tblResourceInput[employee_id],ROW()-1))</f>
        <v/>
      </c>
      <c r="C33" s="2">
        <f>IF($B33="","",XLOOKUP($B33,tblEmployeeMaster[employee_id],tblEmployeeMaster[employee_name],""))</f>
        <v/>
      </c>
      <c r="D33" s="2">
        <f>IF($B33="","",XLOOKUP($B33,tblEmployeeMaster[employee_id],tblEmployeeMaster[department],""))</f>
        <v/>
      </c>
      <c r="E33" s="2">
        <f>IF($A33="","",INDEX(tblResourceInput[work_date],ROW()-1))</f>
        <v/>
      </c>
      <c r="F33" s="2">
        <f>IF($A33="","",INDEX(tblResourceInput[project_id],ROW()-1))</f>
        <v/>
      </c>
      <c r="G33" s="2">
        <f>IF($F33="","",XLOOKUP($F33,tblProjectMaster[project_id],tblProjectMaster[project_name],""))</f>
        <v/>
      </c>
      <c r="H33" s="2">
        <f>IF($A33="","",INDEX(tblResourceInput[task_name],ROW()-1))</f>
        <v/>
      </c>
      <c r="I33" s="2">
        <f>IF($A33="","",INDEX(tblResourceInput[planned_hours],ROW()-1))</f>
        <v/>
      </c>
      <c r="J33" s="2">
        <f>IF($B33="","",XLOOKUP($B33,tblEmployeeMaster[employee_id],tblEmployeeMaster[daily_capacity_hours],0))</f>
        <v/>
      </c>
      <c r="K33" s="2">
        <f>IF($B33="","",SUMIFS(tblResourceInput[planned_hours],tblResourceInput[employee_id],$B33,tblResourceInput[work_date],$E33))</f>
        <v/>
      </c>
      <c r="L33" s="5">
        <f>IFERROR($K33/$J33,0)</f>
        <v/>
      </c>
      <c r="M33" s="2">
        <f>IF($A33="","",IF($K33&gt;$J33,"OVER","OK"))</f>
        <v/>
      </c>
      <c r="N33" s="2">
        <f>IF($A33="","",MAX($J33-$K33,0))</f>
        <v/>
      </c>
      <c r="O33" s="5">
        <f>IF($F33="","",MAXIFS(tblProgressInput[progress_percent],tblProgressInput[project_id],$F33))</f>
        <v/>
      </c>
      <c r="P33" s="2">
        <f>IF($F33="","",XLOOKUP($F33,tblProgressInput[project_id],tblProgressInput[progress_status],"Not Started",0,-1))</f>
        <v/>
      </c>
      <c r="Q33" s="2">
        <f>IF($F33="","",XLOOKUP($F33,tblProgressInput[project_id],tblProgressInput[issue_flag],"",0,-1))</f>
        <v/>
      </c>
    </row>
    <row r="34">
      <c r="A34" s="2">
        <f>IFERROR(INDEX(tblResourceInput[entry_id],ROW()-1),"")</f>
        <v/>
      </c>
      <c r="B34" s="2">
        <f>IF($A34="","",INDEX(tblResourceInput[employee_id],ROW()-1))</f>
        <v/>
      </c>
      <c r="C34" s="2">
        <f>IF($B34="","",XLOOKUP($B34,tblEmployeeMaster[employee_id],tblEmployeeMaster[employee_name],""))</f>
        <v/>
      </c>
      <c r="D34" s="2">
        <f>IF($B34="","",XLOOKUP($B34,tblEmployeeMaster[employee_id],tblEmployeeMaster[department],""))</f>
        <v/>
      </c>
      <c r="E34" s="2">
        <f>IF($A34="","",INDEX(tblResourceInput[work_date],ROW()-1))</f>
        <v/>
      </c>
      <c r="F34" s="2">
        <f>IF($A34="","",INDEX(tblResourceInput[project_id],ROW()-1))</f>
        <v/>
      </c>
      <c r="G34" s="2">
        <f>IF($F34="","",XLOOKUP($F34,tblProjectMaster[project_id],tblProjectMaster[project_name],""))</f>
        <v/>
      </c>
      <c r="H34" s="2">
        <f>IF($A34="","",INDEX(tblResourceInput[task_name],ROW()-1))</f>
        <v/>
      </c>
      <c r="I34" s="2">
        <f>IF($A34="","",INDEX(tblResourceInput[planned_hours],ROW()-1))</f>
        <v/>
      </c>
      <c r="J34" s="2">
        <f>IF($B34="","",XLOOKUP($B34,tblEmployeeMaster[employee_id],tblEmployeeMaster[daily_capacity_hours],0))</f>
        <v/>
      </c>
      <c r="K34" s="2">
        <f>IF($B34="","",SUMIFS(tblResourceInput[planned_hours],tblResourceInput[employee_id],$B34,tblResourceInput[work_date],$E34))</f>
        <v/>
      </c>
      <c r="L34" s="5">
        <f>IFERROR($K34/$J34,0)</f>
        <v/>
      </c>
      <c r="M34" s="2">
        <f>IF($A34="","",IF($K34&gt;$J34,"OVER","OK"))</f>
        <v/>
      </c>
      <c r="N34" s="2">
        <f>IF($A34="","",MAX($J34-$K34,0))</f>
        <v/>
      </c>
      <c r="O34" s="5">
        <f>IF($F34="","",MAXIFS(tblProgressInput[progress_percent],tblProgressInput[project_id],$F34))</f>
        <v/>
      </c>
      <c r="P34" s="2">
        <f>IF($F34="","",XLOOKUP($F34,tblProgressInput[project_id],tblProgressInput[progress_status],"Not Started",0,-1))</f>
        <v/>
      </c>
      <c r="Q34" s="2">
        <f>IF($F34="","",XLOOKUP($F34,tblProgressInput[project_id],tblProgressInput[issue_flag],"",0,-1))</f>
        <v/>
      </c>
    </row>
    <row r="35">
      <c r="A35" s="2">
        <f>IFERROR(INDEX(tblResourceInput[entry_id],ROW()-1),"")</f>
        <v/>
      </c>
      <c r="B35" s="2">
        <f>IF($A35="","",INDEX(tblResourceInput[employee_id],ROW()-1))</f>
        <v/>
      </c>
      <c r="C35" s="2">
        <f>IF($B35="","",XLOOKUP($B35,tblEmployeeMaster[employee_id],tblEmployeeMaster[employee_name],""))</f>
        <v/>
      </c>
      <c r="D35" s="2">
        <f>IF($B35="","",XLOOKUP($B35,tblEmployeeMaster[employee_id],tblEmployeeMaster[department],""))</f>
        <v/>
      </c>
      <c r="E35" s="2">
        <f>IF($A35="","",INDEX(tblResourceInput[work_date],ROW()-1))</f>
        <v/>
      </c>
      <c r="F35" s="2">
        <f>IF($A35="","",INDEX(tblResourceInput[project_id],ROW()-1))</f>
        <v/>
      </c>
      <c r="G35" s="2">
        <f>IF($F35="","",XLOOKUP($F35,tblProjectMaster[project_id],tblProjectMaster[project_name],""))</f>
        <v/>
      </c>
      <c r="H35" s="2">
        <f>IF($A35="","",INDEX(tblResourceInput[task_name],ROW()-1))</f>
        <v/>
      </c>
      <c r="I35" s="2">
        <f>IF($A35="","",INDEX(tblResourceInput[planned_hours],ROW()-1))</f>
        <v/>
      </c>
      <c r="J35" s="2">
        <f>IF($B35="","",XLOOKUP($B35,tblEmployeeMaster[employee_id],tblEmployeeMaster[daily_capacity_hours],0))</f>
        <v/>
      </c>
      <c r="K35" s="2">
        <f>IF($B35="","",SUMIFS(tblResourceInput[planned_hours],tblResourceInput[employee_id],$B35,tblResourceInput[work_date],$E35))</f>
        <v/>
      </c>
      <c r="L35" s="5">
        <f>IFERROR($K35/$J35,0)</f>
        <v/>
      </c>
      <c r="M35" s="2">
        <f>IF($A35="","",IF($K35&gt;$J35,"OVER","OK"))</f>
        <v/>
      </c>
      <c r="N35" s="2">
        <f>IF($A35="","",MAX($J35-$K35,0))</f>
        <v/>
      </c>
      <c r="O35" s="5">
        <f>IF($F35="","",MAXIFS(tblProgressInput[progress_percent],tblProgressInput[project_id],$F35))</f>
        <v/>
      </c>
      <c r="P35" s="2">
        <f>IF($F35="","",XLOOKUP($F35,tblProgressInput[project_id],tblProgressInput[progress_status],"Not Started",0,-1))</f>
        <v/>
      </c>
      <c r="Q35" s="2">
        <f>IF($F35="","",XLOOKUP($F35,tblProgressInput[project_id],tblProgressInput[issue_flag],"",0,-1))</f>
        <v/>
      </c>
    </row>
    <row r="36">
      <c r="A36" s="2">
        <f>IFERROR(INDEX(tblResourceInput[entry_id],ROW()-1),"")</f>
        <v/>
      </c>
      <c r="B36" s="2">
        <f>IF($A36="","",INDEX(tblResourceInput[employee_id],ROW()-1))</f>
        <v/>
      </c>
      <c r="C36" s="2">
        <f>IF($B36="","",XLOOKUP($B36,tblEmployeeMaster[employee_id],tblEmployeeMaster[employee_name],""))</f>
        <v/>
      </c>
      <c r="D36" s="2">
        <f>IF($B36="","",XLOOKUP($B36,tblEmployeeMaster[employee_id],tblEmployeeMaster[department],""))</f>
        <v/>
      </c>
      <c r="E36" s="2">
        <f>IF($A36="","",INDEX(tblResourceInput[work_date],ROW()-1))</f>
        <v/>
      </c>
      <c r="F36" s="2">
        <f>IF($A36="","",INDEX(tblResourceInput[project_id],ROW()-1))</f>
        <v/>
      </c>
      <c r="G36" s="2">
        <f>IF($F36="","",XLOOKUP($F36,tblProjectMaster[project_id],tblProjectMaster[project_name],""))</f>
        <v/>
      </c>
      <c r="H36" s="2">
        <f>IF($A36="","",INDEX(tblResourceInput[task_name],ROW()-1))</f>
        <v/>
      </c>
      <c r="I36" s="2">
        <f>IF($A36="","",INDEX(tblResourceInput[planned_hours],ROW()-1))</f>
        <v/>
      </c>
      <c r="J36" s="2">
        <f>IF($B36="","",XLOOKUP($B36,tblEmployeeMaster[employee_id],tblEmployeeMaster[daily_capacity_hours],0))</f>
        <v/>
      </c>
      <c r="K36" s="2">
        <f>IF($B36="","",SUMIFS(tblResourceInput[planned_hours],tblResourceInput[employee_id],$B36,tblResourceInput[work_date],$E36))</f>
        <v/>
      </c>
      <c r="L36" s="5">
        <f>IFERROR($K36/$J36,0)</f>
        <v/>
      </c>
      <c r="M36" s="2">
        <f>IF($A36="","",IF($K36&gt;$J36,"OVER","OK"))</f>
        <v/>
      </c>
      <c r="N36" s="2">
        <f>IF($A36="","",MAX($J36-$K36,0))</f>
        <v/>
      </c>
      <c r="O36" s="5">
        <f>IF($F36="","",MAXIFS(tblProgressInput[progress_percent],tblProgressInput[project_id],$F36))</f>
        <v/>
      </c>
      <c r="P36" s="2">
        <f>IF($F36="","",XLOOKUP($F36,tblProgressInput[project_id],tblProgressInput[progress_status],"Not Started",0,-1))</f>
        <v/>
      </c>
      <c r="Q36" s="2">
        <f>IF($F36="","",XLOOKUP($F36,tblProgressInput[project_id],tblProgressInput[issue_flag],"",0,-1))</f>
        <v/>
      </c>
    </row>
    <row r="37">
      <c r="A37" s="2">
        <f>IFERROR(INDEX(tblResourceInput[entry_id],ROW()-1),"")</f>
        <v/>
      </c>
      <c r="B37" s="2">
        <f>IF($A37="","",INDEX(tblResourceInput[employee_id],ROW()-1))</f>
        <v/>
      </c>
      <c r="C37" s="2">
        <f>IF($B37="","",XLOOKUP($B37,tblEmployeeMaster[employee_id],tblEmployeeMaster[employee_name],""))</f>
        <v/>
      </c>
      <c r="D37" s="2">
        <f>IF($B37="","",XLOOKUP($B37,tblEmployeeMaster[employee_id],tblEmployeeMaster[department],""))</f>
        <v/>
      </c>
      <c r="E37" s="2">
        <f>IF($A37="","",INDEX(tblResourceInput[work_date],ROW()-1))</f>
        <v/>
      </c>
      <c r="F37" s="2">
        <f>IF($A37="","",INDEX(tblResourceInput[project_id],ROW()-1))</f>
        <v/>
      </c>
      <c r="G37" s="2">
        <f>IF($F37="","",XLOOKUP($F37,tblProjectMaster[project_id],tblProjectMaster[project_name],""))</f>
        <v/>
      </c>
      <c r="H37" s="2">
        <f>IF($A37="","",INDEX(tblResourceInput[task_name],ROW()-1))</f>
        <v/>
      </c>
      <c r="I37" s="2">
        <f>IF($A37="","",INDEX(tblResourceInput[planned_hours],ROW()-1))</f>
        <v/>
      </c>
      <c r="J37" s="2">
        <f>IF($B37="","",XLOOKUP($B37,tblEmployeeMaster[employee_id],tblEmployeeMaster[daily_capacity_hours],0))</f>
        <v/>
      </c>
      <c r="K37" s="2">
        <f>IF($B37="","",SUMIFS(tblResourceInput[planned_hours],tblResourceInput[employee_id],$B37,tblResourceInput[work_date],$E37))</f>
        <v/>
      </c>
      <c r="L37" s="5">
        <f>IFERROR($K37/$J37,0)</f>
        <v/>
      </c>
      <c r="M37" s="2">
        <f>IF($A37="","",IF($K37&gt;$J37,"OVER","OK"))</f>
        <v/>
      </c>
      <c r="N37" s="2">
        <f>IF($A37="","",MAX($J37-$K37,0))</f>
        <v/>
      </c>
      <c r="O37" s="5">
        <f>IF($F37="","",MAXIFS(tblProgressInput[progress_percent],tblProgressInput[project_id],$F37))</f>
        <v/>
      </c>
      <c r="P37" s="2">
        <f>IF($F37="","",XLOOKUP($F37,tblProgressInput[project_id],tblProgressInput[progress_status],"Not Started",0,-1))</f>
        <v/>
      </c>
      <c r="Q37" s="2">
        <f>IF($F37="","",XLOOKUP($F37,tblProgressInput[project_id],tblProgressInput[issue_flag],"",0,-1))</f>
        <v/>
      </c>
    </row>
    <row r="38">
      <c r="A38" s="2">
        <f>IFERROR(INDEX(tblResourceInput[entry_id],ROW()-1),"")</f>
        <v/>
      </c>
      <c r="B38" s="2">
        <f>IF($A38="","",INDEX(tblResourceInput[employee_id],ROW()-1))</f>
        <v/>
      </c>
      <c r="C38" s="2">
        <f>IF($B38="","",XLOOKUP($B38,tblEmployeeMaster[employee_id],tblEmployeeMaster[employee_name],""))</f>
        <v/>
      </c>
      <c r="D38" s="2">
        <f>IF($B38="","",XLOOKUP($B38,tblEmployeeMaster[employee_id],tblEmployeeMaster[department],""))</f>
        <v/>
      </c>
      <c r="E38" s="2">
        <f>IF($A38="","",INDEX(tblResourceInput[work_date],ROW()-1))</f>
        <v/>
      </c>
      <c r="F38" s="2">
        <f>IF($A38="","",INDEX(tblResourceInput[project_id],ROW()-1))</f>
        <v/>
      </c>
      <c r="G38" s="2">
        <f>IF($F38="","",XLOOKUP($F38,tblProjectMaster[project_id],tblProjectMaster[project_name],""))</f>
        <v/>
      </c>
      <c r="H38" s="2">
        <f>IF($A38="","",INDEX(tblResourceInput[task_name],ROW()-1))</f>
        <v/>
      </c>
      <c r="I38" s="2">
        <f>IF($A38="","",INDEX(tblResourceInput[planned_hours],ROW()-1))</f>
        <v/>
      </c>
      <c r="J38" s="2">
        <f>IF($B38="","",XLOOKUP($B38,tblEmployeeMaster[employee_id],tblEmployeeMaster[daily_capacity_hours],0))</f>
        <v/>
      </c>
      <c r="K38" s="2">
        <f>IF($B38="","",SUMIFS(tblResourceInput[planned_hours],tblResourceInput[employee_id],$B38,tblResourceInput[work_date],$E38))</f>
        <v/>
      </c>
      <c r="L38" s="5">
        <f>IFERROR($K38/$J38,0)</f>
        <v/>
      </c>
      <c r="M38" s="2">
        <f>IF($A38="","",IF($K38&gt;$J38,"OVER","OK"))</f>
        <v/>
      </c>
      <c r="N38" s="2">
        <f>IF($A38="","",MAX($J38-$K38,0))</f>
        <v/>
      </c>
      <c r="O38" s="5">
        <f>IF($F38="","",MAXIFS(tblProgressInput[progress_percent],tblProgressInput[project_id],$F38))</f>
        <v/>
      </c>
      <c r="P38" s="2">
        <f>IF($F38="","",XLOOKUP($F38,tblProgressInput[project_id],tblProgressInput[progress_status],"Not Started",0,-1))</f>
        <v/>
      </c>
      <c r="Q38" s="2">
        <f>IF($F38="","",XLOOKUP($F38,tblProgressInput[project_id],tblProgressInput[issue_flag],"",0,-1))</f>
        <v/>
      </c>
    </row>
    <row r="39">
      <c r="A39" s="2">
        <f>IFERROR(INDEX(tblResourceInput[entry_id],ROW()-1),"")</f>
        <v/>
      </c>
      <c r="B39" s="2">
        <f>IF($A39="","",INDEX(tblResourceInput[employee_id],ROW()-1))</f>
        <v/>
      </c>
      <c r="C39" s="2">
        <f>IF($B39="","",XLOOKUP($B39,tblEmployeeMaster[employee_id],tblEmployeeMaster[employee_name],""))</f>
        <v/>
      </c>
      <c r="D39" s="2">
        <f>IF($B39="","",XLOOKUP($B39,tblEmployeeMaster[employee_id],tblEmployeeMaster[department],""))</f>
        <v/>
      </c>
      <c r="E39" s="2">
        <f>IF($A39="","",INDEX(tblResourceInput[work_date],ROW()-1))</f>
        <v/>
      </c>
      <c r="F39" s="2">
        <f>IF($A39="","",INDEX(tblResourceInput[project_id],ROW()-1))</f>
        <v/>
      </c>
      <c r="G39" s="2">
        <f>IF($F39="","",XLOOKUP($F39,tblProjectMaster[project_id],tblProjectMaster[project_name],""))</f>
        <v/>
      </c>
      <c r="H39" s="2">
        <f>IF($A39="","",INDEX(tblResourceInput[task_name],ROW()-1))</f>
        <v/>
      </c>
      <c r="I39" s="2">
        <f>IF($A39="","",INDEX(tblResourceInput[planned_hours],ROW()-1))</f>
        <v/>
      </c>
      <c r="J39" s="2">
        <f>IF($B39="","",XLOOKUP($B39,tblEmployeeMaster[employee_id],tblEmployeeMaster[daily_capacity_hours],0))</f>
        <v/>
      </c>
      <c r="K39" s="2">
        <f>IF($B39="","",SUMIFS(tblResourceInput[planned_hours],tblResourceInput[employee_id],$B39,tblResourceInput[work_date],$E39))</f>
        <v/>
      </c>
      <c r="L39" s="5">
        <f>IFERROR($K39/$J39,0)</f>
        <v/>
      </c>
      <c r="M39" s="2">
        <f>IF($A39="","",IF($K39&gt;$J39,"OVER","OK"))</f>
        <v/>
      </c>
      <c r="N39" s="2">
        <f>IF($A39="","",MAX($J39-$K39,0))</f>
        <v/>
      </c>
      <c r="O39" s="5">
        <f>IF($F39="","",MAXIFS(tblProgressInput[progress_percent],tblProgressInput[project_id],$F39))</f>
        <v/>
      </c>
      <c r="P39" s="2">
        <f>IF($F39="","",XLOOKUP($F39,tblProgressInput[project_id],tblProgressInput[progress_status],"Not Started",0,-1))</f>
        <v/>
      </c>
      <c r="Q39" s="2">
        <f>IF($F39="","",XLOOKUP($F39,tblProgressInput[project_id],tblProgressInput[issue_flag],"",0,-1))</f>
        <v/>
      </c>
    </row>
    <row r="40">
      <c r="A40" s="2">
        <f>IFERROR(INDEX(tblResourceInput[entry_id],ROW()-1),"")</f>
        <v/>
      </c>
      <c r="B40" s="2">
        <f>IF($A40="","",INDEX(tblResourceInput[employee_id],ROW()-1))</f>
        <v/>
      </c>
      <c r="C40" s="2">
        <f>IF($B40="","",XLOOKUP($B40,tblEmployeeMaster[employee_id],tblEmployeeMaster[employee_name],""))</f>
        <v/>
      </c>
      <c r="D40" s="2">
        <f>IF($B40="","",XLOOKUP($B40,tblEmployeeMaster[employee_id],tblEmployeeMaster[department],""))</f>
        <v/>
      </c>
      <c r="E40" s="2">
        <f>IF($A40="","",INDEX(tblResourceInput[work_date],ROW()-1))</f>
        <v/>
      </c>
      <c r="F40" s="2">
        <f>IF($A40="","",INDEX(tblResourceInput[project_id],ROW()-1))</f>
        <v/>
      </c>
      <c r="G40" s="2">
        <f>IF($F40="","",XLOOKUP($F40,tblProjectMaster[project_id],tblProjectMaster[project_name],""))</f>
        <v/>
      </c>
      <c r="H40" s="2">
        <f>IF($A40="","",INDEX(tblResourceInput[task_name],ROW()-1))</f>
        <v/>
      </c>
      <c r="I40" s="2">
        <f>IF($A40="","",INDEX(tblResourceInput[planned_hours],ROW()-1))</f>
        <v/>
      </c>
      <c r="J40" s="2">
        <f>IF($B40="","",XLOOKUP($B40,tblEmployeeMaster[employee_id],tblEmployeeMaster[daily_capacity_hours],0))</f>
        <v/>
      </c>
      <c r="K40" s="2">
        <f>IF($B40="","",SUMIFS(tblResourceInput[planned_hours],tblResourceInput[employee_id],$B40,tblResourceInput[work_date],$E40))</f>
        <v/>
      </c>
      <c r="L40" s="5">
        <f>IFERROR($K40/$J40,0)</f>
        <v/>
      </c>
      <c r="M40" s="2">
        <f>IF($A40="","",IF($K40&gt;$J40,"OVER","OK"))</f>
        <v/>
      </c>
      <c r="N40" s="2">
        <f>IF($A40="","",MAX($J40-$K40,0))</f>
        <v/>
      </c>
      <c r="O40" s="5">
        <f>IF($F40="","",MAXIFS(tblProgressInput[progress_percent],tblProgressInput[project_id],$F40))</f>
        <v/>
      </c>
      <c r="P40" s="2">
        <f>IF($F40="","",XLOOKUP($F40,tblProgressInput[project_id],tblProgressInput[progress_status],"Not Started",0,-1))</f>
        <v/>
      </c>
      <c r="Q40" s="2">
        <f>IF($F40="","",XLOOKUP($F40,tblProgressInput[project_id],tblProgressInput[issue_flag],"",0,-1))</f>
        <v/>
      </c>
    </row>
    <row r="41">
      <c r="A41" s="2">
        <f>IFERROR(INDEX(tblResourceInput[entry_id],ROW()-1),"")</f>
        <v/>
      </c>
      <c r="B41" s="2">
        <f>IF($A41="","",INDEX(tblResourceInput[employee_id],ROW()-1))</f>
        <v/>
      </c>
      <c r="C41" s="2">
        <f>IF($B41="","",XLOOKUP($B41,tblEmployeeMaster[employee_id],tblEmployeeMaster[employee_name],""))</f>
        <v/>
      </c>
      <c r="D41" s="2">
        <f>IF($B41="","",XLOOKUP($B41,tblEmployeeMaster[employee_id],tblEmployeeMaster[department],""))</f>
        <v/>
      </c>
      <c r="E41" s="2">
        <f>IF($A41="","",INDEX(tblResourceInput[work_date],ROW()-1))</f>
        <v/>
      </c>
      <c r="F41" s="2">
        <f>IF($A41="","",INDEX(tblResourceInput[project_id],ROW()-1))</f>
        <v/>
      </c>
      <c r="G41" s="2">
        <f>IF($F41="","",XLOOKUP($F41,tblProjectMaster[project_id],tblProjectMaster[project_name],""))</f>
        <v/>
      </c>
      <c r="H41" s="2">
        <f>IF($A41="","",INDEX(tblResourceInput[task_name],ROW()-1))</f>
        <v/>
      </c>
      <c r="I41" s="2">
        <f>IF($A41="","",INDEX(tblResourceInput[planned_hours],ROW()-1))</f>
        <v/>
      </c>
      <c r="J41" s="2">
        <f>IF($B41="","",XLOOKUP($B41,tblEmployeeMaster[employee_id],tblEmployeeMaster[daily_capacity_hours],0))</f>
        <v/>
      </c>
      <c r="K41" s="2">
        <f>IF($B41="","",SUMIFS(tblResourceInput[planned_hours],tblResourceInput[employee_id],$B41,tblResourceInput[work_date],$E41))</f>
        <v/>
      </c>
      <c r="L41" s="5">
        <f>IFERROR($K41/$J41,0)</f>
        <v/>
      </c>
      <c r="M41" s="2">
        <f>IF($A41="","",IF($K41&gt;$J41,"OVER","OK"))</f>
        <v/>
      </c>
      <c r="N41" s="2">
        <f>IF($A41="","",MAX($J41-$K41,0))</f>
        <v/>
      </c>
      <c r="O41" s="5">
        <f>IF($F41="","",MAXIFS(tblProgressInput[progress_percent],tblProgressInput[project_id],$F41))</f>
        <v/>
      </c>
      <c r="P41" s="2">
        <f>IF($F41="","",XLOOKUP($F41,tblProgressInput[project_id],tblProgressInput[progress_status],"Not Started",0,-1))</f>
        <v/>
      </c>
      <c r="Q41" s="2">
        <f>IF($F41="","",XLOOKUP($F41,tblProgressInput[project_id],tblProgressInput[issue_flag],"",0,-1))</f>
        <v/>
      </c>
    </row>
    <row r="42">
      <c r="A42" s="2">
        <f>IFERROR(INDEX(tblResourceInput[entry_id],ROW()-1),"")</f>
        <v/>
      </c>
      <c r="B42" s="2">
        <f>IF($A42="","",INDEX(tblResourceInput[employee_id],ROW()-1))</f>
        <v/>
      </c>
      <c r="C42" s="2">
        <f>IF($B42="","",XLOOKUP($B42,tblEmployeeMaster[employee_id],tblEmployeeMaster[employee_name],""))</f>
        <v/>
      </c>
      <c r="D42" s="2">
        <f>IF($B42="","",XLOOKUP($B42,tblEmployeeMaster[employee_id],tblEmployeeMaster[department],""))</f>
        <v/>
      </c>
      <c r="E42" s="2">
        <f>IF($A42="","",INDEX(tblResourceInput[work_date],ROW()-1))</f>
        <v/>
      </c>
      <c r="F42" s="2">
        <f>IF($A42="","",INDEX(tblResourceInput[project_id],ROW()-1))</f>
        <v/>
      </c>
      <c r="G42" s="2">
        <f>IF($F42="","",XLOOKUP($F42,tblProjectMaster[project_id],tblProjectMaster[project_name],""))</f>
        <v/>
      </c>
      <c r="H42" s="2">
        <f>IF($A42="","",INDEX(tblResourceInput[task_name],ROW()-1))</f>
        <v/>
      </c>
      <c r="I42" s="2">
        <f>IF($A42="","",INDEX(tblResourceInput[planned_hours],ROW()-1))</f>
        <v/>
      </c>
      <c r="J42" s="2">
        <f>IF($B42="","",XLOOKUP($B42,tblEmployeeMaster[employee_id],tblEmployeeMaster[daily_capacity_hours],0))</f>
        <v/>
      </c>
      <c r="K42" s="2">
        <f>IF($B42="","",SUMIFS(tblResourceInput[planned_hours],tblResourceInput[employee_id],$B42,tblResourceInput[work_date],$E42))</f>
        <v/>
      </c>
      <c r="L42" s="5">
        <f>IFERROR($K42/$J42,0)</f>
        <v/>
      </c>
      <c r="M42" s="2">
        <f>IF($A42="","",IF($K42&gt;$J42,"OVER","OK"))</f>
        <v/>
      </c>
      <c r="N42" s="2">
        <f>IF($A42="","",MAX($J42-$K42,0))</f>
        <v/>
      </c>
      <c r="O42" s="5">
        <f>IF($F42="","",MAXIFS(tblProgressInput[progress_percent],tblProgressInput[project_id],$F42))</f>
        <v/>
      </c>
      <c r="P42" s="2">
        <f>IF($F42="","",XLOOKUP($F42,tblProgressInput[project_id],tblProgressInput[progress_status],"Not Started",0,-1))</f>
        <v/>
      </c>
      <c r="Q42" s="2">
        <f>IF($F42="","",XLOOKUP($F42,tblProgressInput[project_id],tblProgressInput[issue_flag],"",0,-1))</f>
        <v/>
      </c>
    </row>
    <row r="43">
      <c r="A43" s="2">
        <f>IFERROR(INDEX(tblResourceInput[entry_id],ROW()-1),"")</f>
        <v/>
      </c>
      <c r="B43" s="2">
        <f>IF($A43="","",INDEX(tblResourceInput[employee_id],ROW()-1))</f>
        <v/>
      </c>
      <c r="C43" s="2">
        <f>IF($B43="","",XLOOKUP($B43,tblEmployeeMaster[employee_id],tblEmployeeMaster[employee_name],""))</f>
        <v/>
      </c>
      <c r="D43" s="2">
        <f>IF($B43="","",XLOOKUP($B43,tblEmployeeMaster[employee_id],tblEmployeeMaster[department],""))</f>
        <v/>
      </c>
      <c r="E43" s="2">
        <f>IF($A43="","",INDEX(tblResourceInput[work_date],ROW()-1))</f>
        <v/>
      </c>
      <c r="F43" s="2">
        <f>IF($A43="","",INDEX(tblResourceInput[project_id],ROW()-1))</f>
        <v/>
      </c>
      <c r="G43" s="2">
        <f>IF($F43="","",XLOOKUP($F43,tblProjectMaster[project_id],tblProjectMaster[project_name],""))</f>
        <v/>
      </c>
      <c r="H43" s="2">
        <f>IF($A43="","",INDEX(tblResourceInput[task_name],ROW()-1))</f>
        <v/>
      </c>
      <c r="I43" s="2">
        <f>IF($A43="","",INDEX(tblResourceInput[planned_hours],ROW()-1))</f>
        <v/>
      </c>
      <c r="J43" s="2">
        <f>IF($B43="","",XLOOKUP($B43,tblEmployeeMaster[employee_id],tblEmployeeMaster[daily_capacity_hours],0))</f>
        <v/>
      </c>
      <c r="K43" s="2">
        <f>IF($B43="","",SUMIFS(tblResourceInput[planned_hours],tblResourceInput[employee_id],$B43,tblResourceInput[work_date],$E43))</f>
        <v/>
      </c>
      <c r="L43" s="5">
        <f>IFERROR($K43/$J43,0)</f>
        <v/>
      </c>
      <c r="M43" s="2">
        <f>IF($A43="","",IF($K43&gt;$J43,"OVER","OK"))</f>
        <v/>
      </c>
      <c r="N43" s="2">
        <f>IF($A43="","",MAX($J43-$K43,0))</f>
        <v/>
      </c>
      <c r="O43" s="5">
        <f>IF($F43="","",MAXIFS(tblProgressInput[progress_percent],tblProgressInput[project_id],$F43))</f>
        <v/>
      </c>
      <c r="P43" s="2">
        <f>IF($F43="","",XLOOKUP($F43,tblProgressInput[project_id],tblProgressInput[progress_status],"Not Started",0,-1))</f>
        <v/>
      </c>
      <c r="Q43" s="2">
        <f>IF($F43="","",XLOOKUP($F43,tblProgressInput[project_id],tblProgressInput[issue_flag],"",0,-1))</f>
        <v/>
      </c>
    </row>
    <row r="44">
      <c r="A44" s="2">
        <f>IFERROR(INDEX(tblResourceInput[entry_id],ROW()-1),"")</f>
        <v/>
      </c>
      <c r="B44" s="2">
        <f>IF($A44="","",INDEX(tblResourceInput[employee_id],ROW()-1))</f>
        <v/>
      </c>
      <c r="C44" s="2">
        <f>IF($B44="","",XLOOKUP($B44,tblEmployeeMaster[employee_id],tblEmployeeMaster[employee_name],""))</f>
        <v/>
      </c>
      <c r="D44" s="2">
        <f>IF($B44="","",XLOOKUP($B44,tblEmployeeMaster[employee_id],tblEmployeeMaster[department],""))</f>
        <v/>
      </c>
      <c r="E44" s="2">
        <f>IF($A44="","",INDEX(tblResourceInput[work_date],ROW()-1))</f>
        <v/>
      </c>
      <c r="F44" s="2">
        <f>IF($A44="","",INDEX(tblResourceInput[project_id],ROW()-1))</f>
        <v/>
      </c>
      <c r="G44" s="2">
        <f>IF($F44="","",XLOOKUP($F44,tblProjectMaster[project_id],tblProjectMaster[project_name],""))</f>
        <v/>
      </c>
      <c r="H44" s="2">
        <f>IF($A44="","",INDEX(tblResourceInput[task_name],ROW()-1))</f>
        <v/>
      </c>
      <c r="I44" s="2">
        <f>IF($A44="","",INDEX(tblResourceInput[planned_hours],ROW()-1))</f>
        <v/>
      </c>
      <c r="J44" s="2">
        <f>IF($B44="","",XLOOKUP($B44,tblEmployeeMaster[employee_id],tblEmployeeMaster[daily_capacity_hours],0))</f>
        <v/>
      </c>
      <c r="K44" s="2">
        <f>IF($B44="","",SUMIFS(tblResourceInput[planned_hours],tblResourceInput[employee_id],$B44,tblResourceInput[work_date],$E44))</f>
        <v/>
      </c>
      <c r="L44" s="5">
        <f>IFERROR($K44/$J44,0)</f>
        <v/>
      </c>
      <c r="M44" s="2">
        <f>IF($A44="","",IF($K44&gt;$J44,"OVER","OK"))</f>
        <v/>
      </c>
      <c r="N44" s="2">
        <f>IF($A44="","",MAX($J44-$K44,0))</f>
        <v/>
      </c>
      <c r="O44" s="5">
        <f>IF($F44="","",MAXIFS(tblProgressInput[progress_percent],tblProgressInput[project_id],$F44))</f>
        <v/>
      </c>
      <c r="P44" s="2">
        <f>IF($F44="","",XLOOKUP($F44,tblProgressInput[project_id],tblProgressInput[progress_status],"Not Started",0,-1))</f>
        <v/>
      </c>
      <c r="Q44" s="2">
        <f>IF($F44="","",XLOOKUP($F44,tblProgressInput[project_id],tblProgressInput[issue_flag],"",0,-1))</f>
        <v/>
      </c>
    </row>
    <row r="45">
      <c r="A45" s="2">
        <f>IFERROR(INDEX(tblResourceInput[entry_id],ROW()-1),"")</f>
        <v/>
      </c>
      <c r="B45" s="2">
        <f>IF($A45="","",INDEX(tblResourceInput[employee_id],ROW()-1))</f>
        <v/>
      </c>
      <c r="C45" s="2">
        <f>IF($B45="","",XLOOKUP($B45,tblEmployeeMaster[employee_id],tblEmployeeMaster[employee_name],""))</f>
        <v/>
      </c>
      <c r="D45" s="2">
        <f>IF($B45="","",XLOOKUP($B45,tblEmployeeMaster[employee_id],tblEmployeeMaster[department],""))</f>
        <v/>
      </c>
      <c r="E45" s="2">
        <f>IF($A45="","",INDEX(tblResourceInput[work_date],ROW()-1))</f>
        <v/>
      </c>
      <c r="F45" s="2">
        <f>IF($A45="","",INDEX(tblResourceInput[project_id],ROW()-1))</f>
        <v/>
      </c>
      <c r="G45" s="2">
        <f>IF($F45="","",XLOOKUP($F45,tblProjectMaster[project_id],tblProjectMaster[project_name],""))</f>
        <v/>
      </c>
      <c r="H45" s="2">
        <f>IF($A45="","",INDEX(tblResourceInput[task_name],ROW()-1))</f>
        <v/>
      </c>
      <c r="I45" s="2">
        <f>IF($A45="","",INDEX(tblResourceInput[planned_hours],ROW()-1))</f>
        <v/>
      </c>
      <c r="J45" s="2">
        <f>IF($B45="","",XLOOKUP($B45,tblEmployeeMaster[employee_id],tblEmployeeMaster[daily_capacity_hours],0))</f>
        <v/>
      </c>
      <c r="K45" s="2">
        <f>IF($B45="","",SUMIFS(tblResourceInput[planned_hours],tblResourceInput[employee_id],$B45,tblResourceInput[work_date],$E45))</f>
        <v/>
      </c>
      <c r="L45" s="5">
        <f>IFERROR($K45/$J45,0)</f>
        <v/>
      </c>
      <c r="M45" s="2">
        <f>IF($A45="","",IF($K45&gt;$J45,"OVER","OK"))</f>
        <v/>
      </c>
      <c r="N45" s="2">
        <f>IF($A45="","",MAX($J45-$K45,0))</f>
        <v/>
      </c>
      <c r="O45" s="5">
        <f>IF($F45="","",MAXIFS(tblProgressInput[progress_percent],tblProgressInput[project_id],$F45))</f>
        <v/>
      </c>
      <c r="P45" s="2">
        <f>IF($F45="","",XLOOKUP($F45,tblProgressInput[project_id],tblProgressInput[progress_status],"Not Started",0,-1))</f>
        <v/>
      </c>
      <c r="Q45" s="2">
        <f>IF($F45="","",XLOOKUP($F45,tblProgressInput[project_id],tblProgressInput[issue_flag],"",0,-1))</f>
        <v/>
      </c>
    </row>
    <row r="46">
      <c r="A46" s="2">
        <f>IFERROR(INDEX(tblResourceInput[entry_id],ROW()-1),"")</f>
        <v/>
      </c>
      <c r="B46" s="2">
        <f>IF($A46="","",INDEX(tblResourceInput[employee_id],ROW()-1))</f>
        <v/>
      </c>
      <c r="C46" s="2">
        <f>IF($B46="","",XLOOKUP($B46,tblEmployeeMaster[employee_id],tblEmployeeMaster[employee_name],""))</f>
        <v/>
      </c>
      <c r="D46" s="2">
        <f>IF($B46="","",XLOOKUP($B46,tblEmployeeMaster[employee_id],tblEmployeeMaster[department],""))</f>
        <v/>
      </c>
      <c r="E46" s="2">
        <f>IF($A46="","",INDEX(tblResourceInput[work_date],ROW()-1))</f>
        <v/>
      </c>
      <c r="F46" s="2">
        <f>IF($A46="","",INDEX(tblResourceInput[project_id],ROW()-1))</f>
        <v/>
      </c>
      <c r="G46" s="2">
        <f>IF($F46="","",XLOOKUP($F46,tblProjectMaster[project_id],tblProjectMaster[project_name],""))</f>
        <v/>
      </c>
      <c r="H46" s="2">
        <f>IF($A46="","",INDEX(tblResourceInput[task_name],ROW()-1))</f>
        <v/>
      </c>
      <c r="I46" s="2">
        <f>IF($A46="","",INDEX(tblResourceInput[planned_hours],ROW()-1))</f>
        <v/>
      </c>
      <c r="J46" s="2">
        <f>IF($B46="","",XLOOKUP($B46,tblEmployeeMaster[employee_id],tblEmployeeMaster[daily_capacity_hours],0))</f>
        <v/>
      </c>
      <c r="K46" s="2">
        <f>IF($B46="","",SUMIFS(tblResourceInput[planned_hours],tblResourceInput[employee_id],$B46,tblResourceInput[work_date],$E46))</f>
        <v/>
      </c>
      <c r="L46" s="5">
        <f>IFERROR($K46/$J46,0)</f>
        <v/>
      </c>
      <c r="M46" s="2">
        <f>IF($A46="","",IF($K46&gt;$J46,"OVER","OK"))</f>
        <v/>
      </c>
      <c r="N46" s="2">
        <f>IF($A46="","",MAX($J46-$K46,0))</f>
        <v/>
      </c>
      <c r="O46" s="5">
        <f>IF($F46="","",MAXIFS(tblProgressInput[progress_percent],tblProgressInput[project_id],$F46))</f>
        <v/>
      </c>
      <c r="P46" s="2">
        <f>IF($F46="","",XLOOKUP($F46,tblProgressInput[project_id],tblProgressInput[progress_status],"Not Started",0,-1))</f>
        <v/>
      </c>
      <c r="Q46" s="2">
        <f>IF($F46="","",XLOOKUP($F46,tblProgressInput[project_id],tblProgressInput[issue_flag],"",0,-1))</f>
        <v/>
      </c>
    </row>
    <row r="47">
      <c r="A47" s="2">
        <f>IFERROR(INDEX(tblResourceInput[entry_id],ROW()-1),"")</f>
        <v/>
      </c>
      <c r="B47" s="2">
        <f>IF($A47="","",INDEX(tblResourceInput[employee_id],ROW()-1))</f>
        <v/>
      </c>
      <c r="C47" s="2">
        <f>IF($B47="","",XLOOKUP($B47,tblEmployeeMaster[employee_id],tblEmployeeMaster[employee_name],""))</f>
        <v/>
      </c>
      <c r="D47" s="2">
        <f>IF($B47="","",XLOOKUP($B47,tblEmployeeMaster[employee_id],tblEmployeeMaster[department],""))</f>
        <v/>
      </c>
      <c r="E47" s="2">
        <f>IF($A47="","",INDEX(tblResourceInput[work_date],ROW()-1))</f>
        <v/>
      </c>
      <c r="F47" s="2">
        <f>IF($A47="","",INDEX(tblResourceInput[project_id],ROW()-1))</f>
        <v/>
      </c>
      <c r="G47" s="2">
        <f>IF($F47="","",XLOOKUP($F47,tblProjectMaster[project_id],tblProjectMaster[project_name],""))</f>
        <v/>
      </c>
      <c r="H47" s="2">
        <f>IF($A47="","",INDEX(tblResourceInput[task_name],ROW()-1))</f>
        <v/>
      </c>
      <c r="I47" s="2">
        <f>IF($A47="","",INDEX(tblResourceInput[planned_hours],ROW()-1))</f>
        <v/>
      </c>
      <c r="J47" s="2">
        <f>IF($B47="","",XLOOKUP($B47,tblEmployeeMaster[employee_id],tblEmployeeMaster[daily_capacity_hours],0))</f>
        <v/>
      </c>
      <c r="K47" s="2">
        <f>IF($B47="","",SUMIFS(tblResourceInput[planned_hours],tblResourceInput[employee_id],$B47,tblResourceInput[work_date],$E47))</f>
        <v/>
      </c>
      <c r="L47" s="5">
        <f>IFERROR($K47/$J47,0)</f>
        <v/>
      </c>
      <c r="M47" s="2">
        <f>IF($A47="","",IF($K47&gt;$J47,"OVER","OK"))</f>
        <v/>
      </c>
      <c r="N47" s="2">
        <f>IF($A47="","",MAX($J47-$K47,0))</f>
        <v/>
      </c>
      <c r="O47" s="5">
        <f>IF($F47="","",MAXIFS(tblProgressInput[progress_percent],tblProgressInput[project_id],$F47))</f>
        <v/>
      </c>
      <c r="P47" s="2">
        <f>IF($F47="","",XLOOKUP($F47,tblProgressInput[project_id],tblProgressInput[progress_status],"Not Started",0,-1))</f>
        <v/>
      </c>
      <c r="Q47" s="2">
        <f>IF($F47="","",XLOOKUP($F47,tblProgressInput[project_id],tblProgressInput[issue_flag],"",0,-1))</f>
        <v/>
      </c>
    </row>
    <row r="48">
      <c r="A48" s="2">
        <f>IFERROR(INDEX(tblResourceInput[entry_id],ROW()-1),"")</f>
        <v/>
      </c>
      <c r="B48" s="2">
        <f>IF($A48="","",INDEX(tblResourceInput[employee_id],ROW()-1))</f>
        <v/>
      </c>
      <c r="C48" s="2">
        <f>IF($B48="","",XLOOKUP($B48,tblEmployeeMaster[employee_id],tblEmployeeMaster[employee_name],""))</f>
        <v/>
      </c>
      <c r="D48" s="2">
        <f>IF($B48="","",XLOOKUP($B48,tblEmployeeMaster[employee_id],tblEmployeeMaster[department],""))</f>
        <v/>
      </c>
      <c r="E48" s="2">
        <f>IF($A48="","",INDEX(tblResourceInput[work_date],ROW()-1))</f>
        <v/>
      </c>
      <c r="F48" s="2">
        <f>IF($A48="","",INDEX(tblResourceInput[project_id],ROW()-1))</f>
        <v/>
      </c>
      <c r="G48" s="2">
        <f>IF($F48="","",XLOOKUP($F48,tblProjectMaster[project_id],tblProjectMaster[project_name],""))</f>
        <v/>
      </c>
      <c r="H48" s="2">
        <f>IF($A48="","",INDEX(tblResourceInput[task_name],ROW()-1))</f>
        <v/>
      </c>
      <c r="I48" s="2">
        <f>IF($A48="","",INDEX(tblResourceInput[planned_hours],ROW()-1))</f>
        <v/>
      </c>
      <c r="J48" s="2">
        <f>IF($B48="","",XLOOKUP($B48,tblEmployeeMaster[employee_id],tblEmployeeMaster[daily_capacity_hours],0))</f>
        <v/>
      </c>
      <c r="K48" s="2">
        <f>IF($B48="","",SUMIFS(tblResourceInput[planned_hours],tblResourceInput[employee_id],$B48,tblResourceInput[work_date],$E48))</f>
        <v/>
      </c>
      <c r="L48" s="5">
        <f>IFERROR($K48/$J48,0)</f>
        <v/>
      </c>
      <c r="M48" s="2">
        <f>IF($A48="","",IF($K48&gt;$J48,"OVER","OK"))</f>
        <v/>
      </c>
      <c r="N48" s="2">
        <f>IF($A48="","",MAX($J48-$K48,0))</f>
        <v/>
      </c>
      <c r="O48" s="5">
        <f>IF($F48="","",MAXIFS(tblProgressInput[progress_percent],tblProgressInput[project_id],$F48))</f>
        <v/>
      </c>
      <c r="P48" s="2">
        <f>IF($F48="","",XLOOKUP($F48,tblProgressInput[project_id],tblProgressInput[progress_status],"Not Started",0,-1))</f>
        <v/>
      </c>
      <c r="Q48" s="2">
        <f>IF($F48="","",XLOOKUP($F48,tblProgressInput[project_id],tblProgressInput[issue_flag],"",0,-1))</f>
        <v/>
      </c>
    </row>
    <row r="49">
      <c r="A49" s="2">
        <f>IFERROR(INDEX(tblResourceInput[entry_id],ROW()-1),"")</f>
        <v/>
      </c>
      <c r="B49" s="2">
        <f>IF($A49="","",INDEX(tblResourceInput[employee_id],ROW()-1))</f>
        <v/>
      </c>
      <c r="C49" s="2">
        <f>IF($B49="","",XLOOKUP($B49,tblEmployeeMaster[employee_id],tblEmployeeMaster[employee_name],""))</f>
        <v/>
      </c>
      <c r="D49" s="2">
        <f>IF($B49="","",XLOOKUP($B49,tblEmployeeMaster[employee_id],tblEmployeeMaster[department],""))</f>
        <v/>
      </c>
      <c r="E49" s="2">
        <f>IF($A49="","",INDEX(tblResourceInput[work_date],ROW()-1))</f>
        <v/>
      </c>
      <c r="F49" s="2">
        <f>IF($A49="","",INDEX(tblResourceInput[project_id],ROW()-1))</f>
        <v/>
      </c>
      <c r="G49" s="2">
        <f>IF($F49="","",XLOOKUP($F49,tblProjectMaster[project_id],tblProjectMaster[project_name],""))</f>
        <v/>
      </c>
      <c r="H49" s="2">
        <f>IF($A49="","",INDEX(tblResourceInput[task_name],ROW()-1))</f>
        <v/>
      </c>
      <c r="I49" s="2">
        <f>IF($A49="","",INDEX(tblResourceInput[planned_hours],ROW()-1))</f>
        <v/>
      </c>
      <c r="J49" s="2">
        <f>IF($B49="","",XLOOKUP($B49,tblEmployeeMaster[employee_id],tblEmployeeMaster[daily_capacity_hours],0))</f>
        <v/>
      </c>
      <c r="K49" s="2">
        <f>IF($B49="","",SUMIFS(tblResourceInput[planned_hours],tblResourceInput[employee_id],$B49,tblResourceInput[work_date],$E49))</f>
        <v/>
      </c>
      <c r="L49" s="5">
        <f>IFERROR($K49/$J49,0)</f>
        <v/>
      </c>
      <c r="M49" s="2">
        <f>IF($A49="","",IF($K49&gt;$J49,"OVER","OK"))</f>
        <v/>
      </c>
      <c r="N49" s="2">
        <f>IF($A49="","",MAX($J49-$K49,0))</f>
        <v/>
      </c>
      <c r="O49" s="5">
        <f>IF($F49="","",MAXIFS(tblProgressInput[progress_percent],tblProgressInput[project_id],$F49))</f>
        <v/>
      </c>
      <c r="P49" s="2">
        <f>IF($F49="","",XLOOKUP($F49,tblProgressInput[project_id],tblProgressInput[progress_status],"Not Started",0,-1))</f>
        <v/>
      </c>
      <c r="Q49" s="2">
        <f>IF($F49="","",XLOOKUP($F49,tblProgressInput[project_id],tblProgressInput[issue_flag],"",0,-1))</f>
        <v/>
      </c>
    </row>
    <row r="50">
      <c r="A50" s="2">
        <f>IFERROR(INDEX(tblResourceInput[entry_id],ROW()-1),"")</f>
        <v/>
      </c>
      <c r="B50" s="2">
        <f>IF($A50="","",INDEX(tblResourceInput[employee_id],ROW()-1))</f>
        <v/>
      </c>
      <c r="C50" s="2">
        <f>IF($B50="","",XLOOKUP($B50,tblEmployeeMaster[employee_id],tblEmployeeMaster[employee_name],""))</f>
        <v/>
      </c>
      <c r="D50" s="2">
        <f>IF($B50="","",XLOOKUP($B50,tblEmployeeMaster[employee_id],tblEmployeeMaster[department],""))</f>
        <v/>
      </c>
      <c r="E50" s="2">
        <f>IF($A50="","",INDEX(tblResourceInput[work_date],ROW()-1))</f>
        <v/>
      </c>
      <c r="F50" s="2">
        <f>IF($A50="","",INDEX(tblResourceInput[project_id],ROW()-1))</f>
        <v/>
      </c>
      <c r="G50" s="2">
        <f>IF($F50="","",XLOOKUP($F50,tblProjectMaster[project_id],tblProjectMaster[project_name],""))</f>
        <v/>
      </c>
      <c r="H50" s="2">
        <f>IF($A50="","",INDEX(tblResourceInput[task_name],ROW()-1))</f>
        <v/>
      </c>
      <c r="I50" s="2">
        <f>IF($A50="","",INDEX(tblResourceInput[planned_hours],ROW()-1))</f>
        <v/>
      </c>
      <c r="J50" s="2">
        <f>IF($B50="","",XLOOKUP($B50,tblEmployeeMaster[employee_id],tblEmployeeMaster[daily_capacity_hours],0))</f>
        <v/>
      </c>
      <c r="K50" s="2">
        <f>IF($B50="","",SUMIFS(tblResourceInput[planned_hours],tblResourceInput[employee_id],$B50,tblResourceInput[work_date],$E50))</f>
        <v/>
      </c>
      <c r="L50" s="5">
        <f>IFERROR($K50/$J50,0)</f>
        <v/>
      </c>
      <c r="M50" s="2">
        <f>IF($A50="","",IF($K50&gt;$J50,"OVER","OK"))</f>
        <v/>
      </c>
      <c r="N50" s="2">
        <f>IF($A50="","",MAX($J50-$K50,0))</f>
        <v/>
      </c>
      <c r="O50" s="5">
        <f>IF($F50="","",MAXIFS(tblProgressInput[progress_percent],tblProgressInput[project_id],$F50))</f>
        <v/>
      </c>
      <c r="P50" s="2">
        <f>IF($F50="","",XLOOKUP($F50,tblProgressInput[project_id],tblProgressInput[progress_status],"Not Started",0,-1))</f>
        <v/>
      </c>
      <c r="Q50" s="2">
        <f>IF($F50="","",XLOOKUP($F50,tblProgressInput[project_id],tblProgressInput[issue_flag],"",0,-1))</f>
        <v/>
      </c>
    </row>
    <row r="51">
      <c r="A51" s="2">
        <f>IFERROR(INDEX(tblResourceInput[entry_id],ROW()-1),"")</f>
        <v/>
      </c>
      <c r="B51" s="2">
        <f>IF($A51="","",INDEX(tblResourceInput[employee_id],ROW()-1))</f>
        <v/>
      </c>
      <c r="C51" s="2">
        <f>IF($B51="","",XLOOKUP($B51,tblEmployeeMaster[employee_id],tblEmployeeMaster[employee_name],""))</f>
        <v/>
      </c>
      <c r="D51" s="2">
        <f>IF($B51="","",XLOOKUP($B51,tblEmployeeMaster[employee_id],tblEmployeeMaster[department],""))</f>
        <v/>
      </c>
      <c r="E51" s="2">
        <f>IF($A51="","",INDEX(tblResourceInput[work_date],ROW()-1))</f>
        <v/>
      </c>
      <c r="F51" s="2">
        <f>IF($A51="","",INDEX(tblResourceInput[project_id],ROW()-1))</f>
        <v/>
      </c>
      <c r="G51" s="2">
        <f>IF($F51="","",XLOOKUP($F51,tblProjectMaster[project_id],tblProjectMaster[project_name],""))</f>
        <v/>
      </c>
      <c r="H51" s="2">
        <f>IF($A51="","",INDEX(tblResourceInput[task_name],ROW()-1))</f>
        <v/>
      </c>
      <c r="I51" s="2">
        <f>IF($A51="","",INDEX(tblResourceInput[planned_hours],ROW()-1))</f>
        <v/>
      </c>
      <c r="J51" s="2">
        <f>IF($B51="","",XLOOKUP($B51,tblEmployeeMaster[employee_id],tblEmployeeMaster[daily_capacity_hours],0))</f>
        <v/>
      </c>
      <c r="K51" s="2">
        <f>IF($B51="","",SUMIFS(tblResourceInput[planned_hours],tblResourceInput[employee_id],$B51,tblResourceInput[work_date],$E51))</f>
        <v/>
      </c>
      <c r="L51" s="5">
        <f>IFERROR($K51/$J51,0)</f>
        <v/>
      </c>
      <c r="M51" s="2">
        <f>IF($A51="","",IF($K51&gt;$J51,"OVER","OK"))</f>
        <v/>
      </c>
      <c r="N51" s="2">
        <f>IF($A51="","",MAX($J51-$K51,0))</f>
        <v/>
      </c>
      <c r="O51" s="5">
        <f>IF($F51="","",MAXIFS(tblProgressInput[progress_percent],tblProgressInput[project_id],$F51))</f>
        <v/>
      </c>
      <c r="P51" s="2">
        <f>IF($F51="","",XLOOKUP($F51,tblProgressInput[project_id],tblProgressInput[progress_status],"Not Started",0,-1))</f>
        <v/>
      </c>
      <c r="Q51" s="2">
        <f>IF($F51="","",XLOOKUP($F51,tblProgressInput[project_id],tblProgressInput[issue_flag],"",0,-1))</f>
        <v/>
      </c>
    </row>
    <row r="52">
      <c r="A52" s="2">
        <f>IFERROR(INDEX(tblResourceInput[entry_id],ROW()-1),"")</f>
        <v/>
      </c>
      <c r="B52" s="2">
        <f>IF($A52="","",INDEX(tblResourceInput[employee_id],ROW()-1))</f>
        <v/>
      </c>
      <c r="C52" s="2">
        <f>IF($B52="","",XLOOKUP($B52,tblEmployeeMaster[employee_id],tblEmployeeMaster[employee_name],""))</f>
        <v/>
      </c>
      <c r="D52" s="2">
        <f>IF($B52="","",XLOOKUP($B52,tblEmployeeMaster[employee_id],tblEmployeeMaster[department],""))</f>
        <v/>
      </c>
      <c r="E52" s="2">
        <f>IF($A52="","",INDEX(tblResourceInput[work_date],ROW()-1))</f>
        <v/>
      </c>
      <c r="F52" s="2">
        <f>IF($A52="","",INDEX(tblResourceInput[project_id],ROW()-1))</f>
        <v/>
      </c>
      <c r="G52" s="2">
        <f>IF($F52="","",XLOOKUP($F52,tblProjectMaster[project_id],tblProjectMaster[project_name],""))</f>
        <v/>
      </c>
      <c r="H52" s="2">
        <f>IF($A52="","",INDEX(tblResourceInput[task_name],ROW()-1))</f>
        <v/>
      </c>
      <c r="I52" s="2">
        <f>IF($A52="","",INDEX(tblResourceInput[planned_hours],ROW()-1))</f>
        <v/>
      </c>
      <c r="J52" s="2">
        <f>IF($B52="","",XLOOKUP($B52,tblEmployeeMaster[employee_id],tblEmployeeMaster[daily_capacity_hours],0))</f>
        <v/>
      </c>
      <c r="K52" s="2">
        <f>IF($B52="","",SUMIFS(tblResourceInput[planned_hours],tblResourceInput[employee_id],$B52,tblResourceInput[work_date],$E52))</f>
        <v/>
      </c>
      <c r="L52" s="5">
        <f>IFERROR($K52/$J52,0)</f>
        <v/>
      </c>
      <c r="M52" s="2">
        <f>IF($A52="","",IF($K52&gt;$J52,"OVER","OK"))</f>
        <v/>
      </c>
      <c r="N52" s="2">
        <f>IF($A52="","",MAX($J52-$K52,0))</f>
        <v/>
      </c>
      <c r="O52" s="5">
        <f>IF($F52="","",MAXIFS(tblProgressInput[progress_percent],tblProgressInput[project_id],$F52))</f>
        <v/>
      </c>
      <c r="P52" s="2">
        <f>IF($F52="","",XLOOKUP($F52,tblProgressInput[project_id],tblProgressInput[progress_status],"Not Started",0,-1))</f>
        <v/>
      </c>
      <c r="Q52" s="2">
        <f>IF($F52="","",XLOOKUP($F52,tblProgressInput[project_id],tblProgressInput[issue_flag],"",0,-1))</f>
        <v/>
      </c>
    </row>
    <row r="53">
      <c r="A53" s="2">
        <f>IFERROR(INDEX(tblResourceInput[entry_id],ROW()-1),"")</f>
        <v/>
      </c>
      <c r="B53" s="2">
        <f>IF($A53="","",INDEX(tblResourceInput[employee_id],ROW()-1))</f>
        <v/>
      </c>
      <c r="C53" s="2">
        <f>IF($B53="","",XLOOKUP($B53,tblEmployeeMaster[employee_id],tblEmployeeMaster[employee_name],""))</f>
        <v/>
      </c>
      <c r="D53" s="2">
        <f>IF($B53="","",XLOOKUP($B53,tblEmployeeMaster[employee_id],tblEmployeeMaster[department],""))</f>
        <v/>
      </c>
      <c r="E53" s="2">
        <f>IF($A53="","",INDEX(tblResourceInput[work_date],ROW()-1))</f>
        <v/>
      </c>
      <c r="F53" s="2">
        <f>IF($A53="","",INDEX(tblResourceInput[project_id],ROW()-1))</f>
        <v/>
      </c>
      <c r="G53" s="2">
        <f>IF($F53="","",XLOOKUP($F53,tblProjectMaster[project_id],tblProjectMaster[project_name],""))</f>
        <v/>
      </c>
      <c r="H53" s="2">
        <f>IF($A53="","",INDEX(tblResourceInput[task_name],ROW()-1))</f>
        <v/>
      </c>
      <c r="I53" s="2">
        <f>IF($A53="","",INDEX(tblResourceInput[planned_hours],ROW()-1))</f>
        <v/>
      </c>
      <c r="J53" s="2">
        <f>IF($B53="","",XLOOKUP($B53,tblEmployeeMaster[employee_id],tblEmployeeMaster[daily_capacity_hours],0))</f>
        <v/>
      </c>
      <c r="K53" s="2">
        <f>IF($B53="","",SUMIFS(tblResourceInput[planned_hours],tblResourceInput[employee_id],$B53,tblResourceInput[work_date],$E53))</f>
        <v/>
      </c>
      <c r="L53" s="5">
        <f>IFERROR($K53/$J53,0)</f>
        <v/>
      </c>
      <c r="M53" s="2">
        <f>IF($A53="","",IF($K53&gt;$J53,"OVER","OK"))</f>
        <v/>
      </c>
      <c r="N53" s="2">
        <f>IF($A53="","",MAX($J53-$K53,0))</f>
        <v/>
      </c>
      <c r="O53" s="5">
        <f>IF($F53="","",MAXIFS(tblProgressInput[progress_percent],tblProgressInput[project_id],$F53))</f>
        <v/>
      </c>
      <c r="P53" s="2">
        <f>IF($F53="","",XLOOKUP($F53,tblProgressInput[project_id],tblProgressInput[progress_status],"Not Started",0,-1))</f>
        <v/>
      </c>
      <c r="Q53" s="2">
        <f>IF($F53="","",XLOOKUP($F53,tblProgressInput[project_id],tblProgressInput[issue_flag],"",0,-1))</f>
        <v/>
      </c>
    </row>
    <row r="54">
      <c r="A54" s="2">
        <f>IFERROR(INDEX(tblResourceInput[entry_id],ROW()-1),"")</f>
        <v/>
      </c>
      <c r="B54" s="2">
        <f>IF($A54="","",INDEX(tblResourceInput[employee_id],ROW()-1))</f>
        <v/>
      </c>
      <c r="C54" s="2">
        <f>IF($B54="","",XLOOKUP($B54,tblEmployeeMaster[employee_id],tblEmployeeMaster[employee_name],""))</f>
        <v/>
      </c>
      <c r="D54" s="2">
        <f>IF($B54="","",XLOOKUP($B54,tblEmployeeMaster[employee_id],tblEmployeeMaster[department],""))</f>
        <v/>
      </c>
      <c r="E54" s="2">
        <f>IF($A54="","",INDEX(tblResourceInput[work_date],ROW()-1))</f>
        <v/>
      </c>
      <c r="F54" s="2">
        <f>IF($A54="","",INDEX(tblResourceInput[project_id],ROW()-1))</f>
        <v/>
      </c>
      <c r="G54" s="2">
        <f>IF($F54="","",XLOOKUP($F54,tblProjectMaster[project_id],tblProjectMaster[project_name],""))</f>
        <v/>
      </c>
      <c r="H54" s="2">
        <f>IF($A54="","",INDEX(tblResourceInput[task_name],ROW()-1))</f>
        <v/>
      </c>
      <c r="I54" s="2">
        <f>IF($A54="","",INDEX(tblResourceInput[planned_hours],ROW()-1))</f>
        <v/>
      </c>
      <c r="J54" s="2">
        <f>IF($B54="","",XLOOKUP($B54,tblEmployeeMaster[employee_id],tblEmployeeMaster[daily_capacity_hours],0))</f>
        <v/>
      </c>
      <c r="K54" s="2">
        <f>IF($B54="","",SUMIFS(tblResourceInput[planned_hours],tblResourceInput[employee_id],$B54,tblResourceInput[work_date],$E54))</f>
        <v/>
      </c>
      <c r="L54" s="5">
        <f>IFERROR($K54/$J54,0)</f>
        <v/>
      </c>
      <c r="M54" s="2">
        <f>IF($A54="","",IF($K54&gt;$J54,"OVER","OK"))</f>
        <v/>
      </c>
      <c r="N54" s="2">
        <f>IF($A54="","",MAX($J54-$K54,0))</f>
        <v/>
      </c>
      <c r="O54" s="5">
        <f>IF($F54="","",MAXIFS(tblProgressInput[progress_percent],tblProgressInput[project_id],$F54))</f>
        <v/>
      </c>
      <c r="P54" s="2">
        <f>IF($F54="","",XLOOKUP($F54,tblProgressInput[project_id],tblProgressInput[progress_status],"Not Started",0,-1))</f>
        <v/>
      </c>
      <c r="Q54" s="2">
        <f>IF($F54="","",XLOOKUP($F54,tblProgressInput[project_id],tblProgressInput[issue_flag],"",0,-1))</f>
        <v/>
      </c>
    </row>
    <row r="55">
      <c r="A55" s="2">
        <f>IFERROR(INDEX(tblResourceInput[entry_id],ROW()-1),"")</f>
        <v/>
      </c>
      <c r="B55" s="2">
        <f>IF($A55="","",INDEX(tblResourceInput[employee_id],ROW()-1))</f>
        <v/>
      </c>
      <c r="C55" s="2">
        <f>IF($B55="","",XLOOKUP($B55,tblEmployeeMaster[employee_id],tblEmployeeMaster[employee_name],""))</f>
        <v/>
      </c>
      <c r="D55" s="2">
        <f>IF($B55="","",XLOOKUP($B55,tblEmployeeMaster[employee_id],tblEmployeeMaster[department],""))</f>
        <v/>
      </c>
      <c r="E55" s="2">
        <f>IF($A55="","",INDEX(tblResourceInput[work_date],ROW()-1))</f>
        <v/>
      </c>
      <c r="F55" s="2">
        <f>IF($A55="","",INDEX(tblResourceInput[project_id],ROW()-1))</f>
        <v/>
      </c>
      <c r="G55" s="2">
        <f>IF($F55="","",XLOOKUP($F55,tblProjectMaster[project_id],tblProjectMaster[project_name],""))</f>
        <v/>
      </c>
      <c r="H55" s="2">
        <f>IF($A55="","",INDEX(tblResourceInput[task_name],ROW()-1))</f>
        <v/>
      </c>
      <c r="I55" s="2">
        <f>IF($A55="","",INDEX(tblResourceInput[planned_hours],ROW()-1))</f>
        <v/>
      </c>
      <c r="J55" s="2">
        <f>IF($B55="","",XLOOKUP($B55,tblEmployeeMaster[employee_id],tblEmployeeMaster[daily_capacity_hours],0))</f>
        <v/>
      </c>
      <c r="K55" s="2">
        <f>IF($B55="","",SUMIFS(tblResourceInput[planned_hours],tblResourceInput[employee_id],$B55,tblResourceInput[work_date],$E55))</f>
        <v/>
      </c>
      <c r="L55" s="5">
        <f>IFERROR($K55/$J55,0)</f>
        <v/>
      </c>
      <c r="M55" s="2">
        <f>IF($A55="","",IF($K55&gt;$J55,"OVER","OK"))</f>
        <v/>
      </c>
      <c r="N55" s="2">
        <f>IF($A55="","",MAX($J55-$K55,0))</f>
        <v/>
      </c>
      <c r="O55" s="5">
        <f>IF($F55="","",MAXIFS(tblProgressInput[progress_percent],tblProgressInput[project_id],$F55))</f>
        <v/>
      </c>
      <c r="P55" s="2">
        <f>IF($F55="","",XLOOKUP($F55,tblProgressInput[project_id],tblProgressInput[progress_status],"Not Started",0,-1))</f>
        <v/>
      </c>
      <c r="Q55" s="2">
        <f>IF($F55="","",XLOOKUP($F55,tblProgressInput[project_id],tblProgressInput[issue_flag],"",0,-1))</f>
        <v/>
      </c>
    </row>
    <row r="56">
      <c r="A56" s="2">
        <f>IFERROR(INDEX(tblResourceInput[entry_id],ROW()-1),"")</f>
        <v/>
      </c>
      <c r="B56" s="2">
        <f>IF($A56="","",INDEX(tblResourceInput[employee_id],ROW()-1))</f>
        <v/>
      </c>
      <c r="C56" s="2">
        <f>IF($B56="","",XLOOKUP($B56,tblEmployeeMaster[employee_id],tblEmployeeMaster[employee_name],""))</f>
        <v/>
      </c>
      <c r="D56" s="2">
        <f>IF($B56="","",XLOOKUP($B56,tblEmployeeMaster[employee_id],tblEmployeeMaster[department],""))</f>
        <v/>
      </c>
      <c r="E56" s="2">
        <f>IF($A56="","",INDEX(tblResourceInput[work_date],ROW()-1))</f>
        <v/>
      </c>
      <c r="F56" s="2">
        <f>IF($A56="","",INDEX(tblResourceInput[project_id],ROW()-1))</f>
        <v/>
      </c>
      <c r="G56" s="2">
        <f>IF($F56="","",XLOOKUP($F56,tblProjectMaster[project_id],tblProjectMaster[project_name],""))</f>
        <v/>
      </c>
      <c r="H56" s="2">
        <f>IF($A56="","",INDEX(tblResourceInput[task_name],ROW()-1))</f>
        <v/>
      </c>
      <c r="I56" s="2">
        <f>IF($A56="","",INDEX(tblResourceInput[planned_hours],ROW()-1))</f>
        <v/>
      </c>
      <c r="J56" s="2">
        <f>IF($B56="","",XLOOKUP($B56,tblEmployeeMaster[employee_id],tblEmployeeMaster[daily_capacity_hours],0))</f>
        <v/>
      </c>
      <c r="K56" s="2">
        <f>IF($B56="","",SUMIFS(tblResourceInput[planned_hours],tblResourceInput[employee_id],$B56,tblResourceInput[work_date],$E56))</f>
        <v/>
      </c>
      <c r="L56" s="5">
        <f>IFERROR($K56/$J56,0)</f>
        <v/>
      </c>
      <c r="M56" s="2">
        <f>IF($A56="","",IF($K56&gt;$J56,"OVER","OK"))</f>
        <v/>
      </c>
      <c r="N56" s="2">
        <f>IF($A56="","",MAX($J56-$K56,0))</f>
        <v/>
      </c>
      <c r="O56" s="5">
        <f>IF($F56="","",MAXIFS(tblProgressInput[progress_percent],tblProgressInput[project_id],$F56))</f>
        <v/>
      </c>
      <c r="P56" s="2">
        <f>IF($F56="","",XLOOKUP($F56,tblProgressInput[project_id],tblProgressInput[progress_status],"Not Started",0,-1))</f>
        <v/>
      </c>
      <c r="Q56" s="2">
        <f>IF($F56="","",XLOOKUP($F56,tblProgressInput[project_id],tblProgressInput[issue_flag],"",0,-1))</f>
        <v/>
      </c>
    </row>
    <row r="57">
      <c r="A57" s="2">
        <f>IFERROR(INDEX(tblResourceInput[entry_id],ROW()-1),"")</f>
        <v/>
      </c>
      <c r="B57" s="2">
        <f>IF($A57="","",INDEX(tblResourceInput[employee_id],ROW()-1))</f>
        <v/>
      </c>
      <c r="C57" s="2">
        <f>IF($B57="","",XLOOKUP($B57,tblEmployeeMaster[employee_id],tblEmployeeMaster[employee_name],""))</f>
        <v/>
      </c>
      <c r="D57" s="2">
        <f>IF($B57="","",XLOOKUP($B57,tblEmployeeMaster[employee_id],tblEmployeeMaster[department],""))</f>
        <v/>
      </c>
      <c r="E57" s="2">
        <f>IF($A57="","",INDEX(tblResourceInput[work_date],ROW()-1))</f>
        <v/>
      </c>
      <c r="F57" s="2">
        <f>IF($A57="","",INDEX(tblResourceInput[project_id],ROW()-1))</f>
        <v/>
      </c>
      <c r="G57" s="2">
        <f>IF($F57="","",XLOOKUP($F57,tblProjectMaster[project_id],tblProjectMaster[project_name],""))</f>
        <v/>
      </c>
      <c r="H57" s="2">
        <f>IF($A57="","",INDEX(tblResourceInput[task_name],ROW()-1))</f>
        <v/>
      </c>
      <c r="I57" s="2">
        <f>IF($A57="","",INDEX(tblResourceInput[planned_hours],ROW()-1))</f>
        <v/>
      </c>
      <c r="J57" s="2">
        <f>IF($B57="","",XLOOKUP($B57,tblEmployeeMaster[employee_id],tblEmployeeMaster[daily_capacity_hours],0))</f>
        <v/>
      </c>
      <c r="K57" s="2">
        <f>IF($B57="","",SUMIFS(tblResourceInput[planned_hours],tblResourceInput[employee_id],$B57,tblResourceInput[work_date],$E57))</f>
        <v/>
      </c>
      <c r="L57" s="5">
        <f>IFERROR($K57/$J57,0)</f>
        <v/>
      </c>
      <c r="M57" s="2">
        <f>IF($A57="","",IF($K57&gt;$J57,"OVER","OK"))</f>
        <v/>
      </c>
      <c r="N57" s="2">
        <f>IF($A57="","",MAX($J57-$K57,0))</f>
        <v/>
      </c>
      <c r="O57" s="5">
        <f>IF($F57="","",MAXIFS(tblProgressInput[progress_percent],tblProgressInput[project_id],$F57))</f>
        <v/>
      </c>
      <c r="P57" s="2">
        <f>IF($F57="","",XLOOKUP($F57,tblProgressInput[project_id],tblProgressInput[progress_status],"Not Started",0,-1))</f>
        <v/>
      </c>
      <c r="Q57" s="2">
        <f>IF($F57="","",XLOOKUP($F57,tblProgressInput[project_id],tblProgressInput[issue_flag],"",0,-1))</f>
        <v/>
      </c>
    </row>
    <row r="58">
      <c r="A58" s="2">
        <f>IFERROR(INDEX(tblResourceInput[entry_id],ROW()-1),"")</f>
        <v/>
      </c>
      <c r="B58" s="2">
        <f>IF($A58="","",INDEX(tblResourceInput[employee_id],ROW()-1))</f>
        <v/>
      </c>
      <c r="C58" s="2">
        <f>IF($B58="","",XLOOKUP($B58,tblEmployeeMaster[employee_id],tblEmployeeMaster[employee_name],""))</f>
        <v/>
      </c>
      <c r="D58" s="2">
        <f>IF($B58="","",XLOOKUP($B58,tblEmployeeMaster[employee_id],tblEmployeeMaster[department],""))</f>
        <v/>
      </c>
      <c r="E58" s="2">
        <f>IF($A58="","",INDEX(tblResourceInput[work_date],ROW()-1))</f>
        <v/>
      </c>
      <c r="F58" s="2">
        <f>IF($A58="","",INDEX(tblResourceInput[project_id],ROW()-1))</f>
        <v/>
      </c>
      <c r="G58" s="2">
        <f>IF($F58="","",XLOOKUP($F58,tblProjectMaster[project_id],tblProjectMaster[project_name],""))</f>
        <v/>
      </c>
      <c r="H58" s="2">
        <f>IF($A58="","",INDEX(tblResourceInput[task_name],ROW()-1))</f>
        <v/>
      </c>
      <c r="I58" s="2">
        <f>IF($A58="","",INDEX(tblResourceInput[planned_hours],ROW()-1))</f>
        <v/>
      </c>
      <c r="J58" s="2">
        <f>IF($B58="","",XLOOKUP($B58,tblEmployeeMaster[employee_id],tblEmployeeMaster[daily_capacity_hours],0))</f>
        <v/>
      </c>
      <c r="K58" s="2">
        <f>IF($B58="","",SUMIFS(tblResourceInput[planned_hours],tblResourceInput[employee_id],$B58,tblResourceInput[work_date],$E58))</f>
        <v/>
      </c>
      <c r="L58" s="5">
        <f>IFERROR($K58/$J58,0)</f>
        <v/>
      </c>
      <c r="M58" s="2">
        <f>IF($A58="","",IF($K58&gt;$J58,"OVER","OK"))</f>
        <v/>
      </c>
      <c r="N58" s="2">
        <f>IF($A58="","",MAX($J58-$K58,0))</f>
        <v/>
      </c>
      <c r="O58" s="5">
        <f>IF($F58="","",MAXIFS(tblProgressInput[progress_percent],tblProgressInput[project_id],$F58))</f>
        <v/>
      </c>
      <c r="P58" s="2">
        <f>IF($F58="","",XLOOKUP($F58,tblProgressInput[project_id],tblProgressInput[progress_status],"Not Started",0,-1))</f>
        <v/>
      </c>
      <c r="Q58" s="2">
        <f>IF($F58="","",XLOOKUP($F58,tblProgressInput[project_id],tblProgressInput[issue_flag],"",0,-1))</f>
        <v/>
      </c>
    </row>
    <row r="59">
      <c r="A59" s="2">
        <f>IFERROR(INDEX(tblResourceInput[entry_id],ROW()-1),"")</f>
        <v/>
      </c>
      <c r="B59" s="2">
        <f>IF($A59="","",INDEX(tblResourceInput[employee_id],ROW()-1))</f>
        <v/>
      </c>
      <c r="C59" s="2">
        <f>IF($B59="","",XLOOKUP($B59,tblEmployeeMaster[employee_id],tblEmployeeMaster[employee_name],""))</f>
        <v/>
      </c>
      <c r="D59" s="2">
        <f>IF($B59="","",XLOOKUP($B59,tblEmployeeMaster[employee_id],tblEmployeeMaster[department],""))</f>
        <v/>
      </c>
      <c r="E59" s="2">
        <f>IF($A59="","",INDEX(tblResourceInput[work_date],ROW()-1))</f>
        <v/>
      </c>
      <c r="F59" s="2">
        <f>IF($A59="","",INDEX(tblResourceInput[project_id],ROW()-1))</f>
        <v/>
      </c>
      <c r="G59" s="2">
        <f>IF($F59="","",XLOOKUP($F59,tblProjectMaster[project_id],tblProjectMaster[project_name],""))</f>
        <v/>
      </c>
      <c r="H59" s="2">
        <f>IF($A59="","",INDEX(tblResourceInput[task_name],ROW()-1))</f>
        <v/>
      </c>
      <c r="I59" s="2">
        <f>IF($A59="","",INDEX(tblResourceInput[planned_hours],ROW()-1))</f>
        <v/>
      </c>
      <c r="J59" s="2">
        <f>IF($B59="","",XLOOKUP($B59,tblEmployeeMaster[employee_id],tblEmployeeMaster[daily_capacity_hours],0))</f>
        <v/>
      </c>
      <c r="K59" s="2">
        <f>IF($B59="","",SUMIFS(tblResourceInput[planned_hours],tblResourceInput[employee_id],$B59,tblResourceInput[work_date],$E59))</f>
        <v/>
      </c>
      <c r="L59" s="5">
        <f>IFERROR($K59/$J59,0)</f>
        <v/>
      </c>
      <c r="M59" s="2">
        <f>IF($A59="","",IF($K59&gt;$J59,"OVER","OK"))</f>
        <v/>
      </c>
      <c r="N59" s="2">
        <f>IF($A59="","",MAX($J59-$K59,0))</f>
        <v/>
      </c>
      <c r="O59" s="5">
        <f>IF($F59="","",MAXIFS(tblProgressInput[progress_percent],tblProgressInput[project_id],$F59))</f>
        <v/>
      </c>
      <c r="P59" s="2">
        <f>IF($F59="","",XLOOKUP($F59,tblProgressInput[project_id],tblProgressInput[progress_status],"Not Started",0,-1))</f>
        <v/>
      </c>
      <c r="Q59" s="2">
        <f>IF($F59="","",XLOOKUP($F59,tblProgressInput[project_id],tblProgressInput[issue_flag],"",0,-1))</f>
        <v/>
      </c>
    </row>
    <row r="60">
      <c r="A60" s="2">
        <f>IFERROR(INDEX(tblResourceInput[entry_id],ROW()-1),"")</f>
        <v/>
      </c>
      <c r="B60" s="2">
        <f>IF($A60="","",INDEX(tblResourceInput[employee_id],ROW()-1))</f>
        <v/>
      </c>
      <c r="C60" s="2">
        <f>IF($B60="","",XLOOKUP($B60,tblEmployeeMaster[employee_id],tblEmployeeMaster[employee_name],""))</f>
        <v/>
      </c>
      <c r="D60" s="2">
        <f>IF($B60="","",XLOOKUP($B60,tblEmployeeMaster[employee_id],tblEmployeeMaster[department],""))</f>
        <v/>
      </c>
      <c r="E60" s="2">
        <f>IF($A60="","",INDEX(tblResourceInput[work_date],ROW()-1))</f>
        <v/>
      </c>
      <c r="F60" s="2">
        <f>IF($A60="","",INDEX(tblResourceInput[project_id],ROW()-1))</f>
        <v/>
      </c>
      <c r="G60" s="2">
        <f>IF($F60="","",XLOOKUP($F60,tblProjectMaster[project_id],tblProjectMaster[project_name],""))</f>
        <v/>
      </c>
      <c r="H60" s="2">
        <f>IF($A60="","",INDEX(tblResourceInput[task_name],ROW()-1))</f>
        <v/>
      </c>
      <c r="I60" s="2">
        <f>IF($A60="","",INDEX(tblResourceInput[planned_hours],ROW()-1))</f>
        <v/>
      </c>
      <c r="J60" s="2">
        <f>IF($B60="","",XLOOKUP($B60,tblEmployeeMaster[employee_id],tblEmployeeMaster[daily_capacity_hours],0))</f>
        <v/>
      </c>
      <c r="K60" s="2">
        <f>IF($B60="","",SUMIFS(tblResourceInput[planned_hours],tblResourceInput[employee_id],$B60,tblResourceInput[work_date],$E60))</f>
        <v/>
      </c>
      <c r="L60" s="5">
        <f>IFERROR($K60/$J60,0)</f>
        <v/>
      </c>
      <c r="M60" s="2">
        <f>IF($A60="","",IF($K60&gt;$J60,"OVER","OK"))</f>
        <v/>
      </c>
      <c r="N60" s="2">
        <f>IF($A60="","",MAX($J60-$K60,0))</f>
        <v/>
      </c>
      <c r="O60" s="5">
        <f>IF($F60="","",MAXIFS(tblProgressInput[progress_percent],tblProgressInput[project_id],$F60))</f>
        <v/>
      </c>
      <c r="P60" s="2">
        <f>IF($F60="","",XLOOKUP($F60,tblProgressInput[project_id],tblProgressInput[progress_status],"Not Started",0,-1))</f>
        <v/>
      </c>
      <c r="Q60" s="2">
        <f>IF($F60="","",XLOOKUP($F60,tblProgressInput[project_id],tblProgressInput[issue_flag],"",0,-1))</f>
        <v/>
      </c>
    </row>
    <row r="61">
      <c r="A61" s="2">
        <f>IFERROR(INDEX(tblResourceInput[entry_id],ROW()-1),"")</f>
        <v/>
      </c>
      <c r="B61" s="2">
        <f>IF($A61="","",INDEX(tblResourceInput[employee_id],ROW()-1))</f>
        <v/>
      </c>
      <c r="C61" s="2">
        <f>IF($B61="","",XLOOKUP($B61,tblEmployeeMaster[employee_id],tblEmployeeMaster[employee_name],""))</f>
        <v/>
      </c>
      <c r="D61" s="2">
        <f>IF($B61="","",XLOOKUP($B61,tblEmployeeMaster[employee_id],tblEmployeeMaster[department],""))</f>
        <v/>
      </c>
      <c r="E61" s="2">
        <f>IF($A61="","",INDEX(tblResourceInput[work_date],ROW()-1))</f>
        <v/>
      </c>
      <c r="F61" s="2">
        <f>IF($A61="","",INDEX(tblResourceInput[project_id],ROW()-1))</f>
        <v/>
      </c>
      <c r="G61" s="2">
        <f>IF($F61="","",XLOOKUP($F61,tblProjectMaster[project_id],tblProjectMaster[project_name],""))</f>
        <v/>
      </c>
      <c r="H61" s="2">
        <f>IF($A61="","",INDEX(tblResourceInput[task_name],ROW()-1))</f>
        <v/>
      </c>
      <c r="I61" s="2">
        <f>IF($A61="","",INDEX(tblResourceInput[planned_hours],ROW()-1))</f>
        <v/>
      </c>
      <c r="J61" s="2">
        <f>IF($B61="","",XLOOKUP($B61,tblEmployeeMaster[employee_id],tblEmployeeMaster[daily_capacity_hours],0))</f>
        <v/>
      </c>
      <c r="K61" s="2">
        <f>IF($B61="","",SUMIFS(tblResourceInput[planned_hours],tblResourceInput[employee_id],$B61,tblResourceInput[work_date],$E61))</f>
        <v/>
      </c>
      <c r="L61" s="5">
        <f>IFERROR($K61/$J61,0)</f>
        <v/>
      </c>
      <c r="M61" s="2">
        <f>IF($A61="","",IF($K61&gt;$J61,"OVER","OK"))</f>
        <v/>
      </c>
      <c r="N61" s="2">
        <f>IF($A61="","",MAX($J61-$K61,0))</f>
        <v/>
      </c>
      <c r="O61" s="5">
        <f>IF($F61="","",MAXIFS(tblProgressInput[progress_percent],tblProgressInput[project_id],$F61))</f>
        <v/>
      </c>
      <c r="P61" s="2">
        <f>IF($F61="","",XLOOKUP($F61,tblProgressInput[project_id],tblProgressInput[progress_status],"Not Started",0,-1))</f>
        <v/>
      </c>
      <c r="Q61" s="2">
        <f>IF($F61="","",XLOOKUP($F61,tblProgressInput[project_id],tblProgressInput[issue_flag],"",0,-1))</f>
        <v/>
      </c>
    </row>
    <row r="62">
      <c r="A62" s="2">
        <f>IFERROR(INDEX(tblResourceInput[entry_id],ROW()-1),"")</f>
        <v/>
      </c>
      <c r="B62" s="2">
        <f>IF($A62="","",INDEX(tblResourceInput[employee_id],ROW()-1))</f>
        <v/>
      </c>
      <c r="C62" s="2">
        <f>IF($B62="","",XLOOKUP($B62,tblEmployeeMaster[employee_id],tblEmployeeMaster[employee_name],""))</f>
        <v/>
      </c>
      <c r="D62" s="2">
        <f>IF($B62="","",XLOOKUP($B62,tblEmployeeMaster[employee_id],tblEmployeeMaster[department],""))</f>
        <v/>
      </c>
      <c r="E62" s="2">
        <f>IF($A62="","",INDEX(tblResourceInput[work_date],ROW()-1))</f>
        <v/>
      </c>
      <c r="F62" s="2">
        <f>IF($A62="","",INDEX(tblResourceInput[project_id],ROW()-1))</f>
        <v/>
      </c>
      <c r="G62" s="2">
        <f>IF($F62="","",XLOOKUP($F62,tblProjectMaster[project_id],tblProjectMaster[project_name],""))</f>
        <v/>
      </c>
      <c r="H62" s="2">
        <f>IF($A62="","",INDEX(tblResourceInput[task_name],ROW()-1))</f>
        <v/>
      </c>
      <c r="I62" s="2">
        <f>IF($A62="","",INDEX(tblResourceInput[planned_hours],ROW()-1))</f>
        <v/>
      </c>
      <c r="J62" s="2">
        <f>IF($B62="","",XLOOKUP($B62,tblEmployeeMaster[employee_id],tblEmployeeMaster[daily_capacity_hours],0))</f>
        <v/>
      </c>
      <c r="K62" s="2">
        <f>IF($B62="","",SUMIFS(tblResourceInput[planned_hours],tblResourceInput[employee_id],$B62,tblResourceInput[work_date],$E62))</f>
        <v/>
      </c>
      <c r="L62" s="5">
        <f>IFERROR($K62/$J62,0)</f>
        <v/>
      </c>
      <c r="M62" s="2">
        <f>IF($A62="","",IF($K62&gt;$J62,"OVER","OK"))</f>
        <v/>
      </c>
      <c r="N62" s="2">
        <f>IF($A62="","",MAX($J62-$K62,0))</f>
        <v/>
      </c>
      <c r="O62" s="5">
        <f>IF($F62="","",MAXIFS(tblProgressInput[progress_percent],tblProgressInput[project_id],$F62))</f>
        <v/>
      </c>
      <c r="P62" s="2">
        <f>IF($F62="","",XLOOKUP($F62,tblProgressInput[project_id],tblProgressInput[progress_status],"Not Started",0,-1))</f>
        <v/>
      </c>
      <c r="Q62" s="2">
        <f>IF($F62="","",XLOOKUP($F62,tblProgressInput[project_id],tblProgressInput[issue_flag],"",0,-1))</f>
        <v/>
      </c>
    </row>
    <row r="63">
      <c r="A63" s="2">
        <f>IFERROR(INDEX(tblResourceInput[entry_id],ROW()-1),"")</f>
        <v/>
      </c>
      <c r="B63" s="2">
        <f>IF($A63="","",INDEX(tblResourceInput[employee_id],ROW()-1))</f>
        <v/>
      </c>
      <c r="C63" s="2">
        <f>IF($B63="","",XLOOKUP($B63,tblEmployeeMaster[employee_id],tblEmployeeMaster[employee_name],""))</f>
        <v/>
      </c>
      <c r="D63" s="2">
        <f>IF($B63="","",XLOOKUP($B63,tblEmployeeMaster[employee_id],tblEmployeeMaster[department],""))</f>
        <v/>
      </c>
      <c r="E63" s="2">
        <f>IF($A63="","",INDEX(tblResourceInput[work_date],ROW()-1))</f>
        <v/>
      </c>
      <c r="F63" s="2">
        <f>IF($A63="","",INDEX(tblResourceInput[project_id],ROW()-1))</f>
        <v/>
      </c>
      <c r="G63" s="2">
        <f>IF($F63="","",XLOOKUP($F63,tblProjectMaster[project_id],tblProjectMaster[project_name],""))</f>
        <v/>
      </c>
      <c r="H63" s="2">
        <f>IF($A63="","",INDEX(tblResourceInput[task_name],ROW()-1))</f>
        <v/>
      </c>
      <c r="I63" s="2">
        <f>IF($A63="","",INDEX(tblResourceInput[planned_hours],ROW()-1))</f>
        <v/>
      </c>
      <c r="J63" s="2">
        <f>IF($B63="","",XLOOKUP($B63,tblEmployeeMaster[employee_id],tblEmployeeMaster[daily_capacity_hours],0))</f>
        <v/>
      </c>
      <c r="K63" s="2">
        <f>IF($B63="","",SUMIFS(tblResourceInput[planned_hours],tblResourceInput[employee_id],$B63,tblResourceInput[work_date],$E63))</f>
        <v/>
      </c>
      <c r="L63" s="5">
        <f>IFERROR($K63/$J63,0)</f>
        <v/>
      </c>
      <c r="M63" s="2">
        <f>IF($A63="","",IF($K63&gt;$J63,"OVER","OK"))</f>
        <v/>
      </c>
      <c r="N63" s="2">
        <f>IF($A63="","",MAX($J63-$K63,0))</f>
        <v/>
      </c>
      <c r="O63" s="5">
        <f>IF($F63="","",MAXIFS(tblProgressInput[progress_percent],tblProgressInput[project_id],$F63))</f>
        <v/>
      </c>
      <c r="P63" s="2">
        <f>IF($F63="","",XLOOKUP($F63,tblProgressInput[project_id],tblProgressInput[progress_status],"Not Started",0,-1))</f>
        <v/>
      </c>
      <c r="Q63" s="2">
        <f>IF($F63="","",XLOOKUP($F63,tblProgressInput[project_id],tblProgressInput[issue_flag],"",0,-1))</f>
        <v/>
      </c>
    </row>
    <row r="64">
      <c r="A64" s="2">
        <f>IFERROR(INDEX(tblResourceInput[entry_id],ROW()-1),"")</f>
        <v/>
      </c>
      <c r="B64" s="2">
        <f>IF($A64="","",INDEX(tblResourceInput[employee_id],ROW()-1))</f>
        <v/>
      </c>
      <c r="C64" s="2">
        <f>IF($B64="","",XLOOKUP($B64,tblEmployeeMaster[employee_id],tblEmployeeMaster[employee_name],""))</f>
        <v/>
      </c>
      <c r="D64" s="2">
        <f>IF($B64="","",XLOOKUP($B64,tblEmployeeMaster[employee_id],tblEmployeeMaster[department],""))</f>
        <v/>
      </c>
      <c r="E64" s="2">
        <f>IF($A64="","",INDEX(tblResourceInput[work_date],ROW()-1))</f>
        <v/>
      </c>
      <c r="F64" s="2">
        <f>IF($A64="","",INDEX(tblResourceInput[project_id],ROW()-1))</f>
        <v/>
      </c>
      <c r="G64" s="2">
        <f>IF($F64="","",XLOOKUP($F64,tblProjectMaster[project_id],tblProjectMaster[project_name],""))</f>
        <v/>
      </c>
      <c r="H64" s="2">
        <f>IF($A64="","",INDEX(tblResourceInput[task_name],ROW()-1))</f>
        <v/>
      </c>
      <c r="I64" s="2">
        <f>IF($A64="","",INDEX(tblResourceInput[planned_hours],ROW()-1))</f>
        <v/>
      </c>
      <c r="J64" s="2">
        <f>IF($B64="","",XLOOKUP($B64,tblEmployeeMaster[employee_id],tblEmployeeMaster[daily_capacity_hours],0))</f>
        <v/>
      </c>
      <c r="K64" s="2">
        <f>IF($B64="","",SUMIFS(tblResourceInput[planned_hours],tblResourceInput[employee_id],$B64,tblResourceInput[work_date],$E64))</f>
        <v/>
      </c>
      <c r="L64" s="5">
        <f>IFERROR($K64/$J64,0)</f>
        <v/>
      </c>
      <c r="M64" s="2">
        <f>IF($A64="","",IF($K64&gt;$J64,"OVER","OK"))</f>
        <v/>
      </c>
      <c r="N64" s="2">
        <f>IF($A64="","",MAX($J64-$K64,0))</f>
        <v/>
      </c>
      <c r="O64" s="5">
        <f>IF($F64="","",MAXIFS(tblProgressInput[progress_percent],tblProgressInput[project_id],$F64))</f>
        <v/>
      </c>
      <c r="P64" s="2">
        <f>IF($F64="","",XLOOKUP($F64,tblProgressInput[project_id],tblProgressInput[progress_status],"Not Started",0,-1))</f>
        <v/>
      </c>
      <c r="Q64" s="2">
        <f>IF($F64="","",XLOOKUP($F64,tblProgressInput[project_id],tblProgressInput[issue_flag],"",0,-1))</f>
        <v/>
      </c>
    </row>
    <row r="65">
      <c r="A65" s="2">
        <f>IFERROR(INDEX(tblResourceInput[entry_id],ROW()-1),"")</f>
        <v/>
      </c>
      <c r="B65" s="2">
        <f>IF($A65="","",INDEX(tblResourceInput[employee_id],ROW()-1))</f>
        <v/>
      </c>
      <c r="C65" s="2">
        <f>IF($B65="","",XLOOKUP($B65,tblEmployeeMaster[employee_id],tblEmployeeMaster[employee_name],""))</f>
        <v/>
      </c>
      <c r="D65" s="2">
        <f>IF($B65="","",XLOOKUP($B65,tblEmployeeMaster[employee_id],tblEmployeeMaster[department],""))</f>
        <v/>
      </c>
      <c r="E65" s="2">
        <f>IF($A65="","",INDEX(tblResourceInput[work_date],ROW()-1))</f>
        <v/>
      </c>
      <c r="F65" s="2">
        <f>IF($A65="","",INDEX(tblResourceInput[project_id],ROW()-1))</f>
        <v/>
      </c>
      <c r="G65" s="2">
        <f>IF($F65="","",XLOOKUP($F65,tblProjectMaster[project_id],tblProjectMaster[project_name],""))</f>
        <v/>
      </c>
      <c r="H65" s="2">
        <f>IF($A65="","",INDEX(tblResourceInput[task_name],ROW()-1))</f>
        <v/>
      </c>
      <c r="I65" s="2">
        <f>IF($A65="","",INDEX(tblResourceInput[planned_hours],ROW()-1))</f>
        <v/>
      </c>
      <c r="J65" s="2">
        <f>IF($B65="","",XLOOKUP($B65,tblEmployeeMaster[employee_id],tblEmployeeMaster[daily_capacity_hours],0))</f>
        <v/>
      </c>
      <c r="K65" s="2">
        <f>IF($B65="","",SUMIFS(tblResourceInput[planned_hours],tblResourceInput[employee_id],$B65,tblResourceInput[work_date],$E65))</f>
        <v/>
      </c>
      <c r="L65" s="5">
        <f>IFERROR($K65/$J65,0)</f>
        <v/>
      </c>
      <c r="M65" s="2">
        <f>IF($A65="","",IF($K65&gt;$J65,"OVER","OK"))</f>
        <v/>
      </c>
      <c r="N65" s="2">
        <f>IF($A65="","",MAX($J65-$K65,0))</f>
        <v/>
      </c>
      <c r="O65" s="5">
        <f>IF($F65="","",MAXIFS(tblProgressInput[progress_percent],tblProgressInput[project_id],$F65))</f>
        <v/>
      </c>
      <c r="P65" s="2">
        <f>IF($F65="","",XLOOKUP($F65,tblProgressInput[project_id],tblProgressInput[progress_status],"Not Started",0,-1))</f>
        <v/>
      </c>
      <c r="Q65" s="2">
        <f>IF($F65="","",XLOOKUP($F65,tblProgressInput[project_id],tblProgressInput[issue_flag],"",0,-1))</f>
        <v/>
      </c>
    </row>
    <row r="66">
      <c r="A66" s="2">
        <f>IFERROR(INDEX(tblResourceInput[entry_id],ROW()-1),"")</f>
        <v/>
      </c>
      <c r="B66" s="2">
        <f>IF($A66="","",INDEX(tblResourceInput[employee_id],ROW()-1))</f>
        <v/>
      </c>
      <c r="C66" s="2">
        <f>IF($B66="","",XLOOKUP($B66,tblEmployeeMaster[employee_id],tblEmployeeMaster[employee_name],""))</f>
        <v/>
      </c>
      <c r="D66" s="2">
        <f>IF($B66="","",XLOOKUP($B66,tblEmployeeMaster[employee_id],tblEmployeeMaster[department],""))</f>
        <v/>
      </c>
      <c r="E66" s="2">
        <f>IF($A66="","",INDEX(tblResourceInput[work_date],ROW()-1))</f>
        <v/>
      </c>
      <c r="F66" s="2">
        <f>IF($A66="","",INDEX(tblResourceInput[project_id],ROW()-1))</f>
        <v/>
      </c>
      <c r="G66" s="2">
        <f>IF($F66="","",XLOOKUP($F66,tblProjectMaster[project_id],tblProjectMaster[project_name],""))</f>
        <v/>
      </c>
      <c r="H66" s="2">
        <f>IF($A66="","",INDEX(tblResourceInput[task_name],ROW()-1))</f>
        <v/>
      </c>
      <c r="I66" s="2">
        <f>IF($A66="","",INDEX(tblResourceInput[planned_hours],ROW()-1))</f>
        <v/>
      </c>
      <c r="J66" s="2">
        <f>IF($B66="","",XLOOKUP($B66,tblEmployeeMaster[employee_id],tblEmployeeMaster[daily_capacity_hours],0))</f>
        <v/>
      </c>
      <c r="K66" s="2">
        <f>IF($B66="","",SUMIFS(tblResourceInput[planned_hours],tblResourceInput[employee_id],$B66,tblResourceInput[work_date],$E66))</f>
        <v/>
      </c>
      <c r="L66" s="5">
        <f>IFERROR($K66/$J66,0)</f>
        <v/>
      </c>
      <c r="M66" s="2">
        <f>IF($A66="","",IF($K66&gt;$J66,"OVER","OK"))</f>
        <v/>
      </c>
      <c r="N66" s="2">
        <f>IF($A66="","",MAX($J66-$K66,0))</f>
        <v/>
      </c>
      <c r="O66" s="5">
        <f>IF($F66="","",MAXIFS(tblProgressInput[progress_percent],tblProgressInput[project_id],$F66))</f>
        <v/>
      </c>
      <c r="P66" s="2">
        <f>IF($F66="","",XLOOKUP($F66,tblProgressInput[project_id],tblProgressInput[progress_status],"Not Started",0,-1))</f>
        <v/>
      </c>
      <c r="Q66" s="2">
        <f>IF($F66="","",XLOOKUP($F66,tblProgressInput[project_id],tblProgressInput[issue_flag],"",0,-1))</f>
        <v/>
      </c>
    </row>
    <row r="67">
      <c r="A67" s="2">
        <f>IFERROR(INDEX(tblResourceInput[entry_id],ROW()-1),"")</f>
        <v/>
      </c>
      <c r="B67" s="2">
        <f>IF($A67="","",INDEX(tblResourceInput[employee_id],ROW()-1))</f>
        <v/>
      </c>
      <c r="C67" s="2">
        <f>IF($B67="","",XLOOKUP($B67,tblEmployeeMaster[employee_id],tblEmployeeMaster[employee_name],""))</f>
        <v/>
      </c>
      <c r="D67" s="2">
        <f>IF($B67="","",XLOOKUP($B67,tblEmployeeMaster[employee_id],tblEmployeeMaster[department],""))</f>
        <v/>
      </c>
      <c r="E67" s="2">
        <f>IF($A67="","",INDEX(tblResourceInput[work_date],ROW()-1))</f>
        <v/>
      </c>
      <c r="F67" s="2">
        <f>IF($A67="","",INDEX(tblResourceInput[project_id],ROW()-1))</f>
        <v/>
      </c>
      <c r="G67" s="2">
        <f>IF($F67="","",XLOOKUP($F67,tblProjectMaster[project_id],tblProjectMaster[project_name],""))</f>
        <v/>
      </c>
      <c r="H67" s="2">
        <f>IF($A67="","",INDEX(tblResourceInput[task_name],ROW()-1))</f>
        <v/>
      </c>
      <c r="I67" s="2">
        <f>IF($A67="","",INDEX(tblResourceInput[planned_hours],ROW()-1))</f>
        <v/>
      </c>
      <c r="J67" s="2">
        <f>IF($B67="","",XLOOKUP($B67,tblEmployeeMaster[employee_id],tblEmployeeMaster[daily_capacity_hours],0))</f>
        <v/>
      </c>
      <c r="K67" s="2">
        <f>IF($B67="","",SUMIFS(tblResourceInput[planned_hours],tblResourceInput[employee_id],$B67,tblResourceInput[work_date],$E67))</f>
        <v/>
      </c>
      <c r="L67" s="5">
        <f>IFERROR($K67/$J67,0)</f>
        <v/>
      </c>
      <c r="M67" s="2">
        <f>IF($A67="","",IF($K67&gt;$J67,"OVER","OK"))</f>
        <v/>
      </c>
      <c r="N67" s="2">
        <f>IF($A67="","",MAX($J67-$K67,0))</f>
        <v/>
      </c>
      <c r="O67" s="5">
        <f>IF($F67="","",MAXIFS(tblProgressInput[progress_percent],tblProgressInput[project_id],$F67))</f>
        <v/>
      </c>
      <c r="P67" s="2">
        <f>IF($F67="","",XLOOKUP($F67,tblProgressInput[project_id],tblProgressInput[progress_status],"Not Started",0,-1))</f>
        <v/>
      </c>
      <c r="Q67" s="2">
        <f>IF($F67="","",XLOOKUP($F67,tblProgressInput[project_id],tblProgressInput[issue_flag],"",0,-1))</f>
        <v/>
      </c>
    </row>
    <row r="68">
      <c r="A68" s="2">
        <f>IFERROR(INDEX(tblResourceInput[entry_id],ROW()-1),"")</f>
        <v/>
      </c>
      <c r="B68" s="2">
        <f>IF($A68="","",INDEX(tblResourceInput[employee_id],ROW()-1))</f>
        <v/>
      </c>
      <c r="C68" s="2">
        <f>IF($B68="","",XLOOKUP($B68,tblEmployeeMaster[employee_id],tblEmployeeMaster[employee_name],""))</f>
        <v/>
      </c>
      <c r="D68" s="2">
        <f>IF($B68="","",XLOOKUP($B68,tblEmployeeMaster[employee_id],tblEmployeeMaster[department],""))</f>
        <v/>
      </c>
      <c r="E68" s="2">
        <f>IF($A68="","",INDEX(tblResourceInput[work_date],ROW()-1))</f>
        <v/>
      </c>
      <c r="F68" s="2">
        <f>IF($A68="","",INDEX(tblResourceInput[project_id],ROW()-1))</f>
        <v/>
      </c>
      <c r="G68" s="2">
        <f>IF($F68="","",XLOOKUP($F68,tblProjectMaster[project_id],tblProjectMaster[project_name],""))</f>
        <v/>
      </c>
      <c r="H68" s="2">
        <f>IF($A68="","",INDEX(tblResourceInput[task_name],ROW()-1))</f>
        <v/>
      </c>
      <c r="I68" s="2">
        <f>IF($A68="","",INDEX(tblResourceInput[planned_hours],ROW()-1))</f>
        <v/>
      </c>
      <c r="J68" s="2">
        <f>IF($B68="","",XLOOKUP($B68,tblEmployeeMaster[employee_id],tblEmployeeMaster[daily_capacity_hours],0))</f>
        <v/>
      </c>
      <c r="K68" s="2">
        <f>IF($B68="","",SUMIFS(tblResourceInput[planned_hours],tblResourceInput[employee_id],$B68,tblResourceInput[work_date],$E68))</f>
        <v/>
      </c>
      <c r="L68" s="5">
        <f>IFERROR($K68/$J68,0)</f>
        <v/>
      </c>
      <c r="M68" s="2">
        <f>IF($A68="","",IF($K68&gt;$J68,"OVER","OK"))</f>
        <v/>
      </c>
      <c r="N68" s="2">
        <f>IF($A68="","",MAX($J68-$K68,0))</f>
        <v/>
      </c>
      <c r="O68" s="5">
        <f>IF($F68="","",MAXIFS(tblProgressInput[progress_percent],tblProgressInput[project_id],$F68))</f>
        <v/>
      </c>
      <c r="P68" s="2">
        <f>IF($F68="","",XLOOKUP($F68,tblProgressInput[project_id],tblProgressInput[progress_status],"Not Started",0,-1))</f>
        <v/>
      </c>
      <c r="Q68" s="2">
        <f>IF($F68="","",XLOOKUP($F68,tblProgressInput[project_id],tblProgressInput[issue_flag],"",0,-1))</f>
        <v/>
      </c>
    </row>
    <row r="69">
      <c r="A69" s="2">
        <f>IFERROR(INDEX(tblResourceInput[entry_id],ROW()-1),"")</f>
        <v/>
      </c>
      <c r="B69" s="2">
        <f>IF($A69="","",INDEX(tblResourceInput[employee_id],ROW()-1))</f>
        <v/>
      </c>
      <c r="C69" s="2">
        <f>IF($B69="","",XLOOKUP($B69,tblEmployeeMaster[employee_id],tblEmployeeMaster[employee_name],""))</f>
        <v/>
      </c>
      <c r="D69" s="2">
        <f>IF($B69="","",XLOOKUP($B69,tblEmployeeMaster[employee_id],tblEmployeeMaster[department],""))</f>
        <v/>
      </c>
      <c r="E69" s="2">
        <f>IF($A69="","",INDEX(tblResourceInput[work_date],ROW()-1))</f>
        <v/>
      </c>
      <c r="F69" s="2">
        <f>IF($A69="","",INDEX(tblResourceInput[project_id],ROW()-1))</f>
        <v/>
      </c>
      <c r="G69" s="2">
        <f>IF($F69="","",XLOOKUP($F69,tblProjectMaster[project_id],tblProjectMaster[project_name],""))</f>
        <v/>
      </c>
      <c r="H69" s="2">
        <f>IF($A69="","",INDEX(tblResourceInput[task_name],ROW()-1))</f>
        <v/>
      </c>
      <c r="I69" s="2">
        <f>IF($A69="","",INDEX(tblResourceInput[planned_hours],ROW()-1))</f>
        <v/>
      </c>
      <c r="J69" s="2">
        <f>IF($B69="","",XLOOKUP($B69,tblEmployeeMaster[employee_id],tblEmployeeMaster[daily_capacity_hours],0))</f>
        <v/>
      </c>
      <c r="K69" s="2">
        <f>IF($B69="","",SUMIFS(tblResourceInput[planned_hours],tblResourceInput[employee_id],$B69,tblResourceInput[work_date],$E69))</f>
        <v/>
      </c>
      <c r="L69" s="5">
        <f>IFERROR($K69/$J69,0)</f>
        <v/>
      </c>
      <c r="M69" s="2">
        <f>IF($A69="","",IF($K69&gt;$J69,"OVER","OK"))</f>
        <v/>
      </c>
      <c r="N69" s="2">
        <f>IF($A69="","",MAX($J69-$K69,0))</f>
        <v/>
      </c>
      <c r="O69" s="5">
        <f>IF($F69="","",MAXIFS(tblProgressInput[progress_percent],tblProgressInput[project_id],$F69))</f>
        <v/>
      </c>
      <c r="P69" s="2">
        <f>IF($F69="","",XLOOKUP($F69,tblProgressInput[project_id],tblProgressInput[progress_status],"Not Started",0,-1))</f>
        <v/>
      </c>
      <c r="Q69" s="2">
        <f>IF($F69="","",XLOOKUP($F69,tblProgressInput[project_id],tblProgressInput[issue_flag],"",0,-1))</f>
        <v/>
      </c>
    </row>
    <row r="70">
      <c r="A70" s="2">
        <f>IFERROR(INDEX(tblResourceInput[entry_id],ROW()-1),"")</f>
        <v/>
      </c>
      <c r="B70" s="2">
        <f>IF($A70="","",INDEX(tblResourceInput[employee_id],ROW()-1))</f>
        <v/>
      </c>
      <c r="C70" s="2">
        <f>IF($B70="","",XLOOKUP($B70,tblEmployeeMaster[employee_id],tblEmployeeMaster[employee_name],""))</f>
        <v/>
      </c>
      <c r="D70" s="2">
        <f>IF($B70="","",XLOOKUP($B70,tblEmployeeMaster[employee_id],tblEmployeeMaster[department],""))</f>
        <v/>
      </c>
      <c r="E70" s="2">
        <f>IF($A70="","",INDEX(tblResourceInput[work_date],ROW()-1))</f>
        <v/>
      </c>
      <c r="F70" s="2">
        <f>IF($A70="","",INDEX(tblResourceInput[project_id],ROW()-1))</f>
        <v/>
      </c>
      <c r="G70" s="2">
        <f>IF($F70="","",XLOOKUP($F70,tblProjectMaster[project_id],tblProjectMaster[project_name],""))</f>
        <v/>
      </c>
      <c r="H70" s="2">
        <f>IF($A70="","",INDEX(tblResourceInput[task_name],ROW()-1))</f>
        <v/>
      </c>
      <c r="I70" s="2">
        <f>IF($A70="","",INDEX(tblResourceInput[planned_hours],ROW()-1))</f>
        <v/>
      </c>
      <c r="J70" s="2">
        <f>IF($B70="","",XLOOKUP($B70,tblEmployeeMaster[employee_id],tblEmployeeMaster[daily_capacity_hours],0))</f>
        <v/>
      </c>
      <c r="K70" s="2">
        <f>IF($B70="","",SUMIFS(tblResourceInput[planned_hours],tblResourceInput[employee_id],$B70,tblResourceInput[work_date],$E70))</f>
        <v/>
      </c>
      <c r="L70" s="5">
        <f>IFERROR($K70/$J70,0)</f>
        <v/>
      </c>
      <c r="M70" s="2">
        <f>IF($A70="","",IF($K70&gt;$J70,"OVER","OK"))</f>
        <v/>
      </c>
      <c r="N70" s="2">
        <f>IF($A70="","",MAX($J70-$K70,0))</f>
        <v/>
      </c>
      <c r="O70" s="5">
        <f>IF($F70="","",MAXIFS(tblProgressInput[progress_percent],tblProgressInput[project_id],$F70))</f>
        <v/>
      </c>
      <c r="P70" s="2">
        <f>IF($F70="","",XLOOKUP($F70,tblProgressInput[project_id],tblProgressInput[progress_status],"Not Started",0,-1))</f>
        <v/>
      </c>
      <c r="Q70" s="2">
        <f>IF($F70="","",XLOOKUP($F70,tblProgressInput[project_id],tblProgressInput[issue_flag],"",0,-1))</f>
        <v/>
      </c>
    </row>
    <row r="71">
      <c r="A71" s="2">
        <f>IFERROR(INDEX(tblResourceInput[entry_id],ROW()-1),"")</f>
        <v/>
      </c>
      <c r="B71" s="2">
        <f>IF($A71="","",INDEX(tblResourceInput[employee_id],ROW()-1))</f>
        <v/>
      </c>
      <c r="C71" s="2">
        <f>IF($B71="","",XLOOKUP($B71,tblEmployeeMaster[employee_id],tblEmployeeMaster[employee_name],""))</f>
        <v/>
      </c>
      <c r="D71" s="2">
        <f>IF($B71="","",XLOOKUP($B71,tblEmployeeMaster[employee_id],tblEmployeeMaster[department],""))</f>
        <v/>
      </c>
      <c r="E71" s="2">
        <f>IF($A71="","",INDEX(tblResourceInput[work_date],ROW()-1))</f>
        <v/>
      </c>
      <c r="F71" s="2">
        <f>IF($A71="","",INDEX(tblResourceInput[project_id],ROW()-1))</f>
        <v/>
      </c>
      <c r="G71" s="2">
        <f>IF($F71="","",XLOOKUP($F71,tblProjectMaster[project_id],tblProjectMaster[project_name],""))</f>
        <v/>
      </c>
      <c r="H71" s="2">
        <f>IF($A71="","",INDEX(tblResourceInput[task_name],ROW()-1))</f>
        <v/>
      </c>
      <c r="I71" s="2">
        <f>IF($A71="","",INDEX(tblResourceInput[planned_hours],ROW()-1))</f>
        <v/>
      </c>
      <c r="J71" s="2">
        <f>IF($B71="","",XLOOKUP($B71,tblEmployeeMaster[employee_id],tblEmployeeMaster[daily_capacity_hours],0))</f>
        <v/>
      </c>
      <c r="K71" s="2">
        <f>IF($B71="","",SUMIFS(tblResourceInput[planned_hours],tblResourceInput[employee_id],$B71,tblResourceInput[work_date],$E71))</f>
        <v/>
      </c>
      <c r="L71" s="5">
        <f>IFERROR($K71/$J71,0)</f>
        <v/>
      </c>
      <c r="M71" s="2">
        <f>IF($A71="","",IF($K71&gt;$J71,"OVER","OK"))</f>
        <v/>
      </c>
      <c r="N71" s="2">
        <f>IF($A71="","",MAX($J71-$K71,0))</f>
        <v/>
      </c>
      <c r="O71" s="5">
        <f>IF($F71="","",MAXIFS(tblProgressInput[progress_percent],tblProgressInput[project_id],$F71))</f>
        <v/>
      </c>
      <c r="P71" s="2">
        <f>IF($F71="","",XLOOKUP($F71,tblProgressInput[project_id],tblProgressInput[progress_status],"Not Started",0,-1))</f>
        <v/>
      </c>
      <c r="Q71" s="2">
        <f>IF($F71="","",XLOOKUP($F71,tblProgressInput[project_id],tblProgressInput[issue_flag],"",0,-1))</f>
        <v/>
      </c>
    </row>
    <row r="72">
      <c r="A72" s="2">
        <f>IFERROR(INDEX(tblResourceInput[entry_id],ROW()-1),"")</f>
        <v/>
      </c>
      <c r="B72" s="2">
        <f>IF($A72="","",INDEX(tblResourceInput[employee_id],ROW()-1))</f>
        <v/>
      </c>
      <c r="C72" s="2">
        <f>IF($B72="","",XLOOKUP($B72,tblEmployeeMaster[employee_id],tblEmployeeMaster[employee_name],""))</f>
        <v/>
      </c>
      <c r="D72" s="2">
        <f>IF($B72="","",XLOOKUP($B72,tblEmployeeMaster[employee_id],tblEmployeeMaster[department],""))</f>
        <v/>
      </c>
      <c r="E72" s="2">
        <f>IF($A72="","",INDEX(tblResourceInput[work_date],ROW()-1))</f>
        <v/>
      </c>
      <c r="F72" s="2">
        <f>IF($A72="","",INDEX(tblResourceInput[project_id],ROW()-1))</f>
        <v/>
      </c>
      <c r="G72" s="2">
        <f>IF($F72="","",XLOOKUP($F72,tblProjectMaster[project_id],tblProjectMaster[project_name],""))</f>
        <v/>
      </c>
      <c r="H72" s="2">
        <f>IF($A72="","",INDEX(tblResourceInput[task_name],ROW()-1))</f>
        <v/>
      </c>
      <c r="I72" s="2">
        <f>IF($A72="","",INDEX(tblResourceInput[planned_hours],ROW()-1))</f>
        <v/>
      </c>
      <c r="J72" s="2">
        <f>IF($B72="","",XLOOKUP($B72,tblEmployeeMaster[employee_id],tblEmployeeMaster[daily_capacity_hours],0))</f>
        <v/>
      </c>
      <c r="K72" s="2">
        <f>IF($B72="","",SUMIFS(tblResourceInput[planned_hours],tblResourceInput[employee_id],$B72,tblResourceInput[work_date],$E72))</f>
        <v/>
      </c>
      <c r="L72" s="5">
        <f>IFERROR($K72/$J72,0)</f>
        <v/>
      </c>
      <c r="M72" s="2">
        <f>IF($A72="","",IF($K72&gt;$J72,"OVER","OK"))</f>
        <v/>
      </c>
      <c r="N72" s="2">
        <f>IF($A72="","",MAX($J72-$K72,0))</f>
        <v/>
      </c>
      <c r="O72" s="5">
        <f>IF($F72="","",MAXIFS(tblProgressInput[progress_percent],tblProgressInput[project_id],$F72))</f>
        <v/>
      </c>
      <c r="P72" s="2">
        <f>IF($F72="","",XLOOKUP($F72,tblProgressInput[project_id],tblProgressInput[progress_status],"Not Started",0,-1))</f>
        <v/>
      </c>
      <c r="Q72" s="2">
        <f>IF($F72="","",XLOOKUP($F72,tblProgressInput[project_id],tblProgressInput[issue_flag],"",0,-1))</f>
        <v/>
      </c>
    </row>
    <row r="73">
      <c r="A73" s="2">
        <f>IFERROR(INDEX(tblResourceInput[entry_id],ROW()-1),"")</f>
        <v/>
      </c>
      <c r="B73" s="2">
        <f>IF($A73="","",INDEX(tblResourceInput[employee_id],ROW()-1))</f>
        <v/>
      </c>
      <c r="C73" s="2">
        <f>IF($B73="","",XLOOKUP($B73,tblEmployeeMaster[employee_id],tblEmployeeMaster[employee_name],""))</f>
        <v/>
      </c>
      <c r="D73" s="2">
        <f>IF($B73="","",XLOOKUP($B73,tblEmployeeMaster[employee_id],tblEmployeeMaster[department],""))</f>
        <v/>
      </c>
      <c r="E73" s="2">
        <f>IF($A73="","",INDEX(tblResourceInput[work_date],ROW()-1))</f>
        <v/>
      </c>
      <c r="F73" s="2">
        <f>IF($A73="","",INDEX(tblResourceInput[project_id],ROW()-1))</f>
        <v/>
      </c>
      <c r="G73" s="2">
        <f>IF($F73="","",XLOOKUP($F73,tblProjectMaster[project_id],tblProjectMaster[project_name],""))</f>
        <v/>
      </c>
      <c r="H73" s="2">
        <f>IF($A73="","",INDEX(tblResourceInput[task_name],ROW()-1))</f>
        <v/>
      </c>
      <c r="I73" s="2">
        <f>IF($A73="","",INDEX(tblResourceInput[planned_hours],ROW()-1))</f>
        <v/>
      </c>
      <c r="J73" s="2">
        <f>IF($B73="","",XLOOKUP($B73,tblEmployeeMaster[employee_id],tblEmployeeMaster[daily_capacity_hours],0))</f>
        <v/>
      </c>
      <c r="K73" s="2">
        <f>IF($B73="","",SUMIFS(tblResourceInput[planned_hours],tblResourceInput[employee_id],$B73,tblResourceInput[work_date],$E73))</f>
        <v/>
      </c>
      <c r="L73" s="5">
        <f>IFERROR($K73/$J73,0)</f>
        <v/>
      </c>
      <c r="M73" s="2">
        <f>IF($A73="","",IF($K73&gt;$J73,"OVER","OK"))</f>
        <v/>
      </c>
      <c r="N73" s="2">
        <f>IF($A73="","",MAX($J73-$K73,0))</f>
        <v/>
      </c>
      <c r="O73" s="5">
        <f>IF($F73="","",MAXIFS(tblProgressInput[progress_percent],tblProgressInput[project_id],$F73))</f>
        <v/>
      </c>
      <c r="P73" s="2">
        <f>IF($F73="","",XLOOKUP($F73,tblProgressInput[project_id],tblProgressInput[progress_status],"Not Started",0,-1))</f>
        <v/>
      </c>
      <c r="Q73" s="2">
        <f>IF($F73="","",XLOOKUP($F73,tblProgressInput[project_id],tblProgressInput[issue_flag],"",0,-1))</f>
        <v/>
      </c>
    </row>
    <row r="74">
      <c r="A74" s="2">
        <f>IFERROR(INDEX(tblResourceInput[entry_id],ROW()-1),"")</f>
        <v/>
      </c>
      <c r="B74" s="2">
        <f>IF($A74="","",INDEX(tblResourceInput[employee_id],ROW()-1))</f>
        <v/>
      </c>
      <c r="C74" s="2">
        <f>IF($B74="","",XLOOKUP($B74,tblEmployeeMaster[employee_id],tblEmployeeMaster[employee_name],""))</f>
        <v/>
      </c>
      <c r="D74" s="2">
        <f>IF($B74="","",XLOOKUP($B74,tblEmployeeMaster[employee_id],tblEmployeeMaster[department],""))</f>
        <v/>
      </c>
      <c r="E74" s="2">
        <f>IF($A74="","",INDEX(tblResourceInput[work_date],ROW()-1))</f>
        <v/>
      </c>
      <c r="F74" s="2">
        <f>IF($A74="","",INDEX(tblResourceInput[project_id],ROW()-1))</f>
        <v/>
      </c>
      <c r="G74" s="2">
        <f>IF($F74="","",XLOOKUP($F74,tblProjectMaster[project_id],tblProjectMaster[project_name],""))</f>
        <v/>
      </c>
      <c r="H74" s="2">
        <f>IF($A74="","",INDEX(tblResourceInput[task_name],ROW()-1))</f>
        <v/>
      </c>
      <c r="I74" s="2">
        <f>IF($A74="","",INDEX(tblResourceInput[planned_hours],ROW()-1))</f>
        <v/>
      </c>
      <c r="J74" s="2">
        <f>IF($B74="","",XLOOKUP($B74,tblEmployeeMaster[employee_id],tblEmployeeMaster[daily_capacity_hours],0))</f>
        <v/>
      </c>
      <c r="K74" s="2">
        <f>IF($B74="","",SUMIFS(tblResourceInput[planned_hours],tblResourceInput[employee_id],$B74,tblResourceInput[work_date],$E74))</f>
        <v/>
      </c>
      <c r="L74" s="5">
        <f>IFERROR($K74/$J74,0)</f>
        <v/>
      </c>
      <c r="M74" s="2">
        <f>IF($A74="","",IF($K74&gt;$J74,"OVER","OK"))</f>
        <v/>
      </c>
      <c r="N74" s="2">
        <f>IF($A74="","",MAX($J74-$K74,0))</f>
        <v/>
      </c>
      <c r="O74" s="5">
        <f>IF($F74="","",MAXIFS(tblProgressInput[progress_percent],tblProgressInput[project_id],$F74))</f>
        <v/>
      </c>
      <c r="P74" s="2">
        <f>IF($F74="","",XLOOKUP($F74,tblProgressInput[project_id],tblProgressInput[progress_status],"Not Started",0,-1))</f>
        <v/>
      </c>
      <c r="Q74" s="2">
        <f>IF($F74="","",XLOOKUP($F74,tblProgressInput[project_id],tblProgressInput[issue_flag],"",0,-1))</f>
        <v/>
      </c>
    </row>
    <row r="75">
      <c r="A75" s="2">
        <f>IFERROR(INDEX(tblResourceInput[entry_id],ROW()-1),"")</f>
        <v/>
      </c>
      <c r="B75" s="2">
        <f>IF($A75="","",INDEX(tblResourceInput[employee_id],ROW()-1))</f>
        <v/>
      </c>
      <c r="C75" s="2">
        <f>IF($B75="","",XLOOKUP($B75,tblEmployeeMaster[employee_id],tblEmployeeMaster[employee_name],""))</f>
        <v/>
      </c>
      <c r="D75" s="2">
        <f>IF($B75="","",XLOOKUP($B75,tblEmployeeMaster[employee_id],tblEmployeeMaster[department],""))</f>
        <v/>
      </c>
      <c r="E75" s="2">
        <f>IF($A75="","",INDEX(tblResourceInput[work_date],ROW()-1))</f>
        <v/>
      </c>
      <c r="F75" s="2">
        <f>IF($A75="","",INDEX(tblResourceInput[project_id],ROW()-1))</f>
        <v/>
      </c>
      <c r="G75" s="2">
        <f>IF($F75="","",XLOOKUP($F75,tblProjectMaster[project_id],tblProjectMaster[project_name],""))</f>
        <v/>
      </c>
      <c r="H75" s="2">
        <f>IF($A75="","",INDEX(tblResourceInput[task_name],ROW()-1))</f>
        <v/>
      </c>
      <c r="I75" s="2">
        <f>IF($A75="","",INDEX(tblResourceInput[planned_hours],ROW()-1))</f>
        <v/>
      </c>
      <c r="J75" s="2">
        <f>IF($B75="","",XLOOKUP($B75,tblEmployeeMaster[employee_id],tblEmployeeMaster[daily_capacity_hours],0))</f>
        <v/>
      </c>
      <c r="K75" s="2">
        <f>IF($B75="","",SUMIFS(tblResourceInput[planned_hours],tblResourceInput[employee_id],$B75,tblResourceInput[work_date],$E75))</f>
        <v/>
      </c>
      <c r="L75" s="5">
        <f>IFERROR($K75/$J75,0)</f>
        <v/>
      </c>
      <c r="M75" s="2">
        <f>IF($A75="","",IF($K75&gt;$J75,"OVER","OK"))</f>
        <v/>
      </c>
      <c r="N75" s="2">
        <f>IF($A75="","",MAX($J75-$K75,0))</f>
        <v/>
      </c>
      <c r="O75" s="5">
        <f>IF($F75="","",MAXIFS(tblProgressInput[progress_percent],tblProgressInput[project_id],$F75))</f>
        <v/>
      </c>
      <c r="P75" s="2">
        <f>IF($F75="","",XLOOKUP($F75,tblProgressInput[project_id],tblProgressInput[progress_status],"Not Started",0,-1))</f>
        <v/>
      </c>
      <c r="Q75" s="2">
        <f>IF($F75="","",XLOOKUP($F75,tblProgressInput[project_id],tblProgressInput[issue_flag],"",0,-1))</f>
        <v/>
      </c>
    </row>
    <row r="76">
      <c r="A76" s="2">
        <f>IFERROR(INDEX(tblResourceInput[entry_id],ROW()-1),"")</f>
        <v/>
      </c>
      <c r="B76" s="2">
        <f>IF($A76="","",INDEX(tblResourceInput[employee_id],ROW()-1))</f>
        <v/>
      </c>
      <c r="C76" s="2">
        <f>IF($B76="","",XLOOKUP($B76,tblEmployeeMaster[employee_id],tblEmployeeMaster[employee_name],""))</f>
        <v/>
      </c>
      <c r="D76" s="2">
        <f>IF($B76="","",XLOOKUP($B76,tblEmployeeMaster[employee_id],tblEmployeeMaster[department],""))</f>
        <v/>
      </c>
      <c r="E76" s="2">
        <f>IF($A76="","",INDEX(tblResourceInput[work_date],ROW()-1))</f>
        <v/>
      </c>
      <c r="F76" s="2">
        <f>IF($A76="","",INDEX(tblResourceInput[project_id],ROW()-1))</f>
        <v/>
      </c>
      <c r="G76" s="2">
        <f>IF($F76="","",XLOOKUP($F76,tblProjectMaster[project_id],tblProjectMaster[project_name],""))</f>
        <v/>
      </c>
      <c r="H76" s="2">
        <f>IF($A76="","",INDEX(tblResourceInput[task_name],ROW()-1))</f>
        <v/>
      </c>
      <c r="I76" s="2">
        <f>IF($A76="","",INDEX(tblResourceInput[planned_hours],ROW()-1))</f>
        <v/>
      </c>
      <c r="J76" s="2">
        <f>IF($B76="","",XLOOKUP($B76,tblEmployeeMaster[employee_id],tblEmployeeMaster[daily_capacity_hours],0))</f>
        <v/>
      </c>
      <c r="K76" s="2">
        <f>IF($B76="","",SUMIFS(tblResourceInput[planned_hours],tblResourceInput[employee_id],$B76,tblResourceInput[work_date],$E76))</f>
        <v/>
      </c>
      <c r="L76" s="5">
        <f>IFERROR($K76/$J76,0)</f>
        <v/>
      </c>
      <c r="M76" s="2">
        <f>IF($A76="","",IF($K76&gt;$J76,"OVER","OK"))</f>
        <v/>
      </c>
      <c r="N76" s="2">
        <f>IF($A76="","",MAX($J76-$K76,0))</f>
        <v/>
      </c>
      <c r="O76" s="5">
        <f>IF($F76="","",MAXIFS(tblProgressInput[progress_percent],tblProgressInput[project_id],$F76))</f>
        <v/>
      </c>
      <c r="P76" s="2">
        <f>IF($F76="","",XLOOKUP($F76,tblProgressInput[project_id],tblProgressInput[progress_status],"Not Started",0,-1))</f>
        <v/>
      </c>
      <c r="Q76" s="2">
        <f>IF($F76="","",XLOOKUP($F76,tblProgressInput[project_id],tblProgressInput[issue_flag],"",0,-1))</f>
        <v/>
      </c>
    </row>
    <row r="77">
      <c r="A77" s="2">
        <f>IFERROR(INDEX(tblResourceInput[entry_id],ROW()-1),"")</f>
        <v/>
      </c>
      <c r="B77" s="2">
        <f>IF($A77="","",INDEX(tblResourceInput[employee_id],ROW()-1))</f>
        <v/>
      </c>
      <c r="C77" s="2">
        <f>IF($B77="","",XLOOKUP($B77,tblEmployeeMaster[employee_id],tblEmployeeMaster[employee_name],""))</f>
        <v/>
      </c>
      <c r="D77" s="2">
        <f>IF($B77="","",XLOOKUP($B77,tblEmployeeMaster[employee_id],tblEmployeeMaster[department],""))</f>
        <v/>
      </c>
      <c r="E77" s="2">
        <f>IF($A77="","",INDEX(tblResourceInput[work_date],ROW()-1))</f>
        <v/>
      </c>
      <c r="F77" s="2">
        <f>IF($A77="","",INDEX(tblResourceInput[project_id],ROW()-1))</f>
        <v/>
      </c>
      <c r="G77" s="2">
        <f>IF($F77="","",XLOOKUP($F77,tblProjectMaster[project_id],tblProjectMaster[project_name],""))</f>
        <v/>
      </c>
      <c r="H77" s="2">
        <f>IF($A77="","",INDEX(tblResourceInput[task_name],ROW()-1))</f>
        <v/>
      </c>
      <c r="I77" s="2">
        <f>IF($A77="","",INDEX(tblResourceInput[planned_hours],ROW()-1))</f>
        <v/>
      </c>
      <c r="J77" s="2">
        <f>IF($B77="","",XLOOKUP($B77,tblEmployeeMaster[employee_id],tblEmployeeMaster[daily_capacity_hours],0))</f>
        <v/>
      </c>
      <c r="K77" s="2">
        <f>IF($B77="","",SUMIFS(tblResourceInput[planned_hours],tblResourceInput[employee_id],$B77,tblResourceInput[work_date],$E77))</f>
        <v/>
      </c>
      <c r="L77" s="5">
        <f>IFERROR($K77/$J77,0)</f>
        <v/>
      </c>
      <c r="M77" s="2">
        <f>IF($A77="","",IF($K77&gt;$J77,"OVER","OK"))</f>
        <v/>
      </c>
      <c r="N77" s="2">
        <f>IF($A77="","",MAX($J77-$K77,0))</f>
        <v/>
      </c>
      <c r="O77" s="5">
        <f>IF($F77="","",MAXIFS(tblProgressInput[progress_percent],tblProgressInput[project_id],$F77))</f>
        <v/>
      </c>
      <c r="P77" s="2">
        <f>IF($F77="","",XLOOKUP($F77,tblProgressInput[project_id],tblProgressInput[progress_status],"Not Started",0,-1))</f>
        <v/>
      </c>
      <c r="Q77" s="2">
        <f>IF($F77="","",XLOOKUP($F77,tblProgressInput[project_id],tblProgressInput[issue_flag],"",0,-1))</f>
        <v/>
      </c>
    </row>
    <row r="78">
      <c r="A78" s="2">
        <f>IFERROR(INDEX(tblResourceInput[entry_id],ROW()-1),"")</f>
        <v/>
      </c>
      <c r="B78" s="2">
        <f>IF($A78="","",INDEX(tblResourceInput[employee_id],ROW()-1))</f>
        <v/>
      </c>
      <c r="C78" s="2">
        <f>IF($B78="","",XLOOKUP($B78,tblEmployeeMaster[employee_id],tblEmployeeMaster[employee_name],""))</f>
        <v/>
      </c>
      <c r="D78" s="2">
        <f>IF($B78="","",XLOOKUP($B78,tblEmployeeMaster[employee_id],tblEmployeeMaster[department],""))</f>
        <v/>
      </c>
      <c r="E78" s="2">
        <f>IF($A78="","",INDEX(tblResourceInput[work_date],ROW()-1))</f>
        <v/>
      </c>
      <c r="F78" s="2">
        <f>IF($A78="","",INDEX(tblResourceInput[project_id],ROW()-1))</f>
        <v/>
      </c>
      <c r="G78" s="2">
        <f>IF($F78="","",XLOOKUP($F78,tblProjectMaster[project_id],tblProjectMaster[project_name],""))</f>
        <v/>
      </c>
      <c r="H78" s="2">
        <f>IF($A78="","",INDEX(tblResourceInput[task_name],ROW()-1))</f>
        <v/>
      </c>
      <c r="I78" s="2">
        <f>IF($A78="","",INDEX(tblResourceInput[planned_hours],ROW()-1))</f>
        <v/>
      </c>
      <c r="J78" s="2">
        <f>IF($B78="","",XLOOKUP($B78,tblEmployeeMaster[employee_id],tblEmployeeMaster[daily_capacity_hours],0))</f>
        <v/>
      </c>
      <c r="K78" s="2">
        <f>IF($B78="","",SUMIFS(tblResourceInput[planned_hours],tblResourceInput[employee_id],$B78,tblResourceInput[work_date],$E78))</f>
        <v/>
      </c>
      <c r="L78" s="5">
        <f>IFERROR($K78/$J78,0)</f>
        <v/>
      </c>
      <c r="M78" s="2">
        <f>IF($A78="","",IF($K78&gt;$J78,"OVER","OK"))</f>
        <v/>
      </c>
      <c r="N78" s="2">
        <f>IF($A78="","",MAX($J78-$K78,0))</f>
        <v/>
      </c>
      <c r="O78" s="5">
        <f>IF($F78="","",MAXIFS(tblProgressInput[progress_percent],tblProgressInput[project_id],$F78))</f>
        <v/>
      </c>
      <c r="P78" s="2">
        <f>IF($F78="","",XLOOKUP($F78,tblProgressInput[project_id],tblProgressInput[progress_status],"Not Started",0,-1))</f>
        <v/>
      </c>
      <c r="Q78" s="2">
        <f>IF($F78="","",XLOOKUP($F78,tblProgressInput[project_id],tblProgressInput[issue_flag],"",0,-1))</f>
        <v/>
      </c>
    </row>
    <row r="79">
      <c r="A79" s="2">
        <f>IFERROR(INDEX(tblResourceInput[entry_id],ROW()-1),"")</f>
        <v/>
      </c>
      <c r="B79" s="2">
        <f>IF($A79="","",INDEX(tblResourceInput[employee_id],ROW()-1))</f>
        <v/>
      </c>
      <c r="C79" s="2">
        <f>IF($B79="","",XLOOKUP($B79,tblEmployeeMaster[employee_id],tblEmployeeMaster[employee_name],""))</f>
        <v/>
      </c>
      <c r="D79" s="2">
        <f>IF($B79="","",XLOOKUP($B79,tblEmployeeMaster[employee_id],tblEmployeeMaster[department],""))</f>
        <v/>
      </c>
      <c r="E79" s="2">
        <f>IF($A79="","",INDEX(tblResourceInput[work_date],ROW()-1))</f>
        <v/>
      </c>
      <c r="F79" s="2">
        <f>IF($A79="","",INDEX(tblResourceInput[project_id],ROW()-1))</f>
        <v/>
      </c>
      <c r="G79" s="2">
        <f>IF($F79="","",XLOOKUP($F79,tblProjectMaster[project_id],tblProjectMaster[project_name],""))</f>
        <v/>
      </c>
      <c r="H79" s="2">
        <f>IF($A79="","",INDEX(tblResourceInput[task_name],ROW()-1))</f>
        <v/>
      </c>
      <c r="I79" s="2">
        <f>IF($A79="","",INDEX(tblResourceInput[planned_hours],ROW()-1))</f>
        <v/>
      </c>
      <c r="J79" s="2">
        <f>IF($B79="","",XLOOKUP($B79,tblEmployeeMaster[employee_id],tblEmployeeMaster[daily_capacity_hours],0))</f>
        <v/>
      </c>
      <c r="K79" s="2">
        <f>IF($B79="","",SUMIFS(tblResourceInput[planned_hours],tblResourceInput[employee_id],$B79,tblResourceInput[work_date],$E79))</f>
        <v/>
      </c>
      <c r="L79" s="5">
        <f>IFERROR($K79/$J79,0)</f>
        <v/>
      </c>
      <c r="M79" s="2">
        <f>IF($A79="","",IF($K79&gt;$J79,"OVER","OK"))</f>
        <v/>
      </c>
      <c r="N79" s="2">
        <f>IF($A79="","",MAX($J79-$K79,0))</f>
        <v/>
      </c>
      <c r="O79" s="5">
        <f>IF($F79="","",MAXIFS(tblProgressInput[progress_percent],tblProgressInput[project_id],$F79))</f>
        <v/>
      </c>
      <c r="P79" s="2">
        <f>IF($F79="","",XLOOKUP($F79,tblProgressInput[project_id],tblProgressInput[progress_status],"Not Started",0,-1))</f>
        <v/>
      </c>
      <c r="Q79" s="2">
        <f>IF($F79="","",XLOOKUP($F79,tblProgressInput[project_id],tblProgressInput[issue_flag],"",0,-1))</f>
        <v/>
      </c>
    </row>
    <row r="80">
      <c r="A80" s="2">
        <f>IFERROR(INDEX(tblResourceInput[entry_id],ROW()-1),"")</f>
        <v/>
      </c>
      <c r="B80" s="2">
        <f>IF($A80="","",INDEX(tblResourceInput[employee_id],ROW()-1))</f>
        <v/>
      </c>
      <c r="C80" s="2">
        <f>IF($B80="","",XLOOKUP($B80,tblEmployeeMaster[employee_id],tblEmployeeMaster[employee_name],""))</f>
        <v/>
      </c>
      <c r="D80" s="2">
        <f>IF($B80="","",XLOOKUP($B80,tblEmployeeMaster[employee_id],tblEmployeeMaster[department],""))</f>
        <v/>
      </c>
      <c r="E80" s="2">
        <f>IF($A80="","",INDEX(tblResourceInput[work_date],ROW()-1))</f>
        <v/>
      </c>
      <c r="F80" s="2">
        <f>IF($A80="","",INDEX(tblResourceInput[project_id],ROW()-1))</f>
        <v/>
      </c>
      <c r="G80" s="2">
        <f>IF($F80="","",XLOOKUP($F80,tblProjectMaster[project_id],tblProjectMaster[project_name],""))</f>
        <v/>
      </c>
      <c r="H80" s="2">
        <f>IF($A80="","",INDEX(tblResourceInput[task_name],ROW()-1))</f>
        <v/>
      </c>
      <c r="I80" s="2">
        <f>IF($A80="","",INDEX(tblResourceInput[planned_hours],ROW()-1))</f>
        <v/>
      </c>
      <c r="J80" s="2">
        <f>IF($B80="","",XLOOKUP($B80,tblEmployeeMaster[employee_id],tblEmployeeMaster[daily_capacity_hours],0))</f>
        <v/>
      </c>
      <c r="K80" s="2">
        <f>IF($B80="","",SUMIFS(tblResourceInput[planned_hours],tblResourceInput[employee_id],$B80,tblResourceInput[work_date],$E80))</f>
        <v/>
      </c>
      <c r="L80" s="5">
        <f>IFERROR($K80/$J80,0)</f>
        <v/>
      </c>
      <c r="M80" s="2">
        <f>IF($A80="","",IF($K80&gt;$J80,"OVER","OK"))</f>
        <v/>
      </c>
      <c r="N80" s="2">
        <f>IF($A80="","",MAX($J80-$K80,0))</f>
        <v/>
      </c>
      <c r="O80" s="5">
        <f>IF($F80="","",MAXIFS(tblProgressInput[progress_percent],tblProgressInput[project_id],$F80))</f>
        <v/>
      </c>
      <c r="P80" s="2">
        <f>IF($F80="","",XLOOKUP($F80,tblProgressInput[project_id],tblProgressInput[progress_status],"Not Started",0,-1))</f>
        <v/>
      </c>
      <c r="Q80" s="2">
        <f>IF($F80="","",XLOOKUP($F80,tblProgressInput[project_id],tblProgressInput[issue_flag],"",0,-1))</f>
        <v/>
      </c>
    </row>
    <row r="81">
      <c r="A81" s="2">
        <f>IFERROR(INDEX(tblResourceInput[entry_id],ROW()-1),"")</f>
        <v/>
      </c>
      <c r="B81" s="2">
        <f>IF($A81="","",INDEX(tblResourceInput[employee_id],ROW()-1))</f>
        <v/>
      </c>
      <c r="C81" s="2">
        <f>IF($B81="","",XLOOKUP($B81,tblEmployeeMaster[employee_id],tblEmployeeMaster[employee_name],""))</f>
        <v/>
      </c>
      <c r="D81" s="2">
        <f>IF($B81="","",XLOOKUP($B81,tblEmployeeMaster[employee_id],tblEmployeeMaster[department],""))</f>
        <v/>
      </c>
      <c r="E81" s="2">
        <f>IF($A81="","",INDEX(tblResourceInput[work_date],ROW()-1))</f>
        <v/>
      </c>
      <c r="F81" s="2">
        <f>IF($A81="","",INDEX(tblResourceInput[project_id],ROW()-1))</f>
        <v/>
      </c>
      <c r="G81" s="2">
        <f>IF($F81="","",XLOOKUP($F81,tblProjectMaster[project_id],tblProjectMaster[project_name],""))</f>
        <v/>
      </c>
      <c r="H81" s="2">
        <f>IF($A81="","",INDEX(tblResourceInput[task_name],ROW()-1))</f>
        <v/>
      </c>
      <c r="I81" s="2">
        <f>IF($A81="","",INDEX(tblResourceInput[planned_hours],ROW()-1))</f>
        <v/>
      </c>
      <c r="J81" s="2">
        <f>IF($B81="","",XLOOKUP($B81,tblEmployeeMaster[employee_id],tblEmployeeMaster[daily_capacity_hours],0))</f>
        <v/>
      </c>
      <c r="K81" s="2">
        <f>IF($B81="","",SUMIFS(tblResourceInput[planned_hours],tblResourceInput[employee_id],$B81,tblResourceInput[work_date],$E81))</f>
        <v/>
      </c>
      <c r="L81" s="5">
        <f>IFERROR($K81/$J81,0)</f>
        <v/>
      </c>
      <c r="M81" s="2">
        <f>IF($A81="","",IF($K81&gt;$J81,"OVER","OK"))</f>
        <v/>
      </c>
      <c r="N81" s="2">
        <f>IF($A81="","",MAX($J81-$K81,0))</f>
        <v/>
      </c>
      <c r="O81" s="5">
        <f>IF($F81="","",MAXIFS(tblProgressInput[progress_percent],tblProgressInput[project_id],$F81))</f>
        <v/>
      </c>
      <c r="P81" s="2">
        <f>IF($F81="","",XLOOKUP($F81,tblProgressInput[project_id],tblProgressInput[progress_status],"Not Started",0,-1))</f>
        <v/>
      </c>
      <c r="Q81" s="2">
        <f>IF($F81="","",XLOOKUP($F81,tblProgressInput[project_id],tblProgressInput[issue_flag],"",0,-1))</f>
        <v/>
      </c>
    </row>
    <row r="82">
      <c r="A82" s="2">
        <f>IFERROR(INDEX(tblResourceInput[entry_id],ROW()-1),"")</f>
        <v/>
      </c>
      <c r="B82" s="2">
        <f>IF($A82="","",INDEX(tblResourceInput[employee_id],ROW()-1))</f>
        <v/>
      </c>
      <c r="C82" s="2">
        <f>IF($B82="","",XLOOKUP($B82,tblEmployeeMaster[employee_id],tblEmployeeMaster[employee_name],""))</f>
        <v/>
      </c>
      <c r="D82" s="2">
        <f>IF($B82="","",XLOOKUP($B82,tblEmployeeMaster[employee_id],tblEmployeeMaster[department],""))</f>
        <v/>
      </c>
      <c r="E82" s="2">
        <f>IF($A82="","",INDEX(tblResourceInput[work_date],ROW()-1))</f>
        <v/>
      </c>
      <c r="F82" s="2">
        <f>IF($A82="","",INDEX(tblResourceInput[project_id],ROW()-1))</f>
        <v/>
      </c>
      <c r="G82" s="2">
        <f>IF($F82="","",XLOOKUP($F82,tblProjectMaster[project_id],tblProjectMaster[project_name],""))</f>
        <v/>
      </c>
      <c r="H82" s="2">
        <f>IF($A82="","",INDEX(tblResourceInput[task_name],ROW()-1))</f>
        <v/>
      </c>
      <c r="I82" s="2">
        <f>IF($A82="","",INDEX(tblResourceInput[planned_hours],ROW()-1))</f>
        <v/>
      </c>
      <c r="J82" s="2">
        <f>IF($B82="","",XLOOKUP($B82,tblEmployeeMaster[employee_id],tblEmployeeMaster[daily_capacity_hours],0))</f>
        <v/>
      </c>
      <c r="K82" s="2">
        <f>IF($B82="","",SUMIFS(tblResourceInput[planned_hours],tblResourceInput[employee_id],$B82,tblResourceInput[work_date],$E82))</f>
        <v/>
      </c>
      <c r="L82" s="5">
        <f>IFERROR($K82/$J82,0)</f>
        <v/>
      </c>
      <c r="M82" s="2">
        <f>IF($A82="","",IF($K82&gt;$J82,"OVER","OK"))</f>
        <v/>
      </c>
      <c r="N82" s="2">
        <f>IF($A82="","",MAX($J82-$K82,0))</f>
        <v/>
      </c>
      <c r="O82" s="5">
        <f>IF($F82="","",MAXIFS(tblProgressInput[progress_percent],tblProgressInput[project_id],$F82))</f>
        <v/>
      </c>
      <c r="P82" s="2">
        <f>IF($F82="","",XLOOKUP($F82,tblProgressInput[project_id],tblProgressInput[progress_status],"Not Started",0,-1))</f>
        <v/>
      </c>
      <c r="Q82" s="2">
        <f>IF($F82="","",XLOOKUP($F82,tblProgressInput[project_id],tblProgressInput[issue_flag],"",0,-1))</f>
        <v/>
      </c>
    </row>
    <row r="83">
      <c r="A83" s="2">
        <f>IFERROR(INDEX(tblResourceInput[entry_id],ROW()-1),"")</f>
        <v/>
      </c>
      <c r="B83" s="2">
        <f>IF($A83="","",INDEX(tblResourceInput[employee_id],ROW()-1))</f>
        <v/>
      </c>
      <c r="C83" s="2">
        <f>IF($B83="","",XLOOKUP($B83,tblEmployeeMaster[employee_id],tblEmployeeMaster[employee_name],""))</f>
        <v/>
      </c>
      <c r="D83" s="2">
        <f>IF($B83="","",XLOOKUP($B83,tblEmployeeMaster[employee_id],tblEmployeeMaster[department],""))</f>
        <v/>
      </c>
      <c r="E83" s="2">
        <f>IF($A83="","",INDEX(tblResourceInput[work_date],ROW()-1))</f>
        <v/>
      </c>
      <c r="F83" s="2">
        <f>IF($A83="","",INDEX(tblResourceInput[project_id],ROW()-1))</f>
        <v/>
      </c>
      <c r="G83" s="2">
        <f>IF($F83="","",XLOOKUP($F83,tblProjectMaster[project_id],tblProjectMaster[project_name],""))</f>
        <v/>
      </c>
      <c r="H83" s="2">
        <f>IF($A83="","",INDEX(tblResourceInput[task_name],ROW()-1))</f>
        <v/>
      </c>
      <c r="I83" s="2">
        <f>IF($A83="","",INDEX(tblResourceInput[planned_hours],ROW()-1))</f>
        <v/>
      </c>
      <c r="J83" s="2">
        <f>IF($B83="","",XLOOKUP($B83,tblEmployeeMaster[employee_id],tblEmployeeMaster[daily_capacity_hours],0))</f>
        <v/>
      </c>
      <c r="K83" s="2">
        <f>IF($B83="","",SUMIFS(tblResourceInput[planned_hours],tblResourceInput[employee_id],$B83,tblResourceInput[work_date],$E83))</f>
        <v/>
      </c>
      <c r="L83" s="5">
        <f>IFERROR($K83/$J83,0)</f>
        <v/>
      </c>
      <c r="M83" s="2">
        <f>IF($A83="","",IF($K83&gt;$J83,"OVER","OK"))</f>
        <v/>
      </c>
      <c r="N83" s="2">
        <f>IF($A83="","",MAX($J83-$K83,0))</f>
        <v/>
      </c>
      <c r="O83" s="5">
        <f>IF($F83="","",MAXIFS(tblProgressInput[progress_percent],tblProgressInput[project_id],$F83))</f>
        <v/>
      </c>
      <c r="P83" s="2">
        <f>IF($F83="","",XLOOKUP($F83,tblProgressInput[project_id],tblProgressInput[progress_status],"Not Started",0,-1))</f>
        <v/>
      </c>
      <c r="Q83" s="2">
        <f>IF($F83="","",XLOOKUP($F83,tblProgressInput[project_id],tblProgressInput[issue_flag],"",0,-1))</f>
        <v/>
      </c>
    </row>
    <row r="84">
      <c r="A84" s="2">
        <f>IFERROR(INDEX(tblResourceInput[entry_id],ROW()-1),"")</f>
        <v/>
      </c>
      <c r="B84" s="2">
        <f>IF($A84="","",INDEX(tblResourceInput[employee_id],ROW()-1))</f>
        <v/>
      </c>
      <c r="C84" s="2">
        <f>IF($B84="","",XLOOKUP($B84,tblEmployeeMaster[employee_id],tblEmployeeMaster[employee_name],""))</f>
        <v/>
      </c>
      <c r="D84" s="2">
        <f>IF($B84="","",XLOOKUP($B84,tblEmployeeMaster[employee_id],tblEmployeeMaster[department],""))</f>
        <v/>
      </c>
      <c r="E84" s="2">
        <f>IF($A84="","",INDEX(tblResourceInput[work_date],ROW()-1))</f>
        <v/>
      </c>
      <c r="F84" s="2">
        <f>IF($A84="","",INDEX(tblResourceInput[project_id],ROW()-1))</f>
        <v/>
      </c>
      <c r="G84" s="2">
        <f>IF($F84="","",XLOOKUP($F84,tblProjectMaster[project_id],tblProjectMaster[project_name],""))</f>
        <v/>
      </c>
      <c r="H84" s="2">
        <f>IF($A84="","",INDEX(tblResourceInput[task_name],ROW()-1))</f>
        <v/>
      </c>
      <c r="I84" s="2">
        <f>IF($A84="","",INDEX(tblResourceInput[planned_hours],ROW()-1))</f>
        <v/>
      </c>
      <c r="J84" s="2">
        <f>IF($B84="","",XLOOKUP($B84,tblEmployeeMaster[employee_id],tblEmployeeMaster[daily_capacity_hours],0))</f>
        <v/>
      </c>
      <c r="K84" s="2">
        <f>IF($B84="","",SUMIFS(tblResourceInput[planned_hours],tblResourceInput[employee_id],$B84,tblResourceInput[work_date],$E84))</f>
        <v/>
      </c>
      <c r="L84" s="5">
        <f>IFERROR($K84/$J84,0)</f>
        <v/>
      </c>
      <c r="M84" s="2">
        <f>IF($A84="","",IF($K84&gt;$J84,"OVER","OK"))</f>
        <v/>
      </c>
      <c r="N84" s="2">
        <f>IF($A84="","",MAX($J84-$K84,0))</f>
        <v/>
      </c>
      <c r="O84" s="5">
        <f>IF($F84="","",MAXIFS(tblProgressInput[progress_percent],tblProgressInput[project_id],$F84))</f>
        <v/>
      </c>
      <c r="P84" s="2">
        <f>IF($F84="","",XLOOKUP($F84,tblProgressInput[project_id],tblProgressInput[progress_status],"Not Started",0,-1))</f>
        <v/>
      </c>
      <c r="Q84" s="2">
        <f>IF($F84="","",XLOOKUP($F84,tblProgressInput[project_id],tblProgressInput[issue_flag],"",0,-1))</f>
        <v/>
      </c>
    </row>
    <row r="85">
      <c r="A85" s="2">
        <f>IFERROR(INDEX(tblResourceInput[entry_id],ROW()-1),"")</f>
        <v/>
      </c>
      <c r="B85" s="2">
        <f>IF($A85="","",INDEX(tblResourceInput[employee_id],ROW()-1))</f>
        <v/>
      </c>
      <c r="C85" s="2">
        <f>IF($B85="","",XLOOKUP($B85,tblEmployeeMaster[employee_id],tblEmployeeMaster[employee_name],""))</f>
        <v/>
      </c>
      <c r="D85" s="2">
        <f>IF($B85="","",XLOOKUP($B85,tblEmployeeMaster[employee_id],tblEmployeeMaster[department],""))</f>
        <v/>
      </c>
      <c r="E85" s="2">
        <f>IF($A85="","",INDEX(tblResourceInput[work_date],ROW()-1))</f>
        <v/>
      </c>
      <c r="F85" s="2">
        <f>IF($A85="","",INDEX(tblResourceInput[project_id],ROW()-1))</f>
        <v/>
      </c>
      <c r="G85" s="2">
        <f>IF($F85="","",XLOOKUP($F85,tblProjectMaster[project_id],tblProjectMaster[project_name],""))</f>
        <v/>
      </c>
      <c r="H85" s="2">
        <f>IF($A85="","",INDEX(tblResourceInput[task_name],ROW()-1))</f>
        <v/>
      </c>
      <c r="I85" s="2">
        <f>IF($A85="","",INDEX(tblResourceInput[planned_hours],ROW()-1))</f>
        <v/>
      </c>
      <c r="J85" s="2">
        <f>IF($B85="","",XLOOKUP($B85,tblEmployeeMaster[employee_id],tblEmployeeMaster[daily_capacity_hours],0))</f>
        <v/>
      </c>
      <c r="K85" s="2">
        <f>IF($B85="","",SUMIFS(tblResourceInput[planned_hours],tblResourceInput[employee_id],$B85,tblResourceInput[work_date],$E85))</f>
        <v/>
      </c>
      <c r="L85" s="5">
        <f>IFERROR($K85/$J85,0)</f>
        <v/>
      </c>
      <c r="M85" s="2">
        <f>IF($A85="","",IF($K85&gt;$J85,"OVER","OK"))</f>
        <v/>
      </c>
      <c r="N85" s="2">
        <f>IF($A85="","",MAX($J85-$K85,0))</f>
        <v/>
      </c>
      <c r="O85" s="5">
        <f>IF($F85="","",MAXIFS(tblProgressInput[progress_percent],tblProgressInput[project_id],$F85))</f>
        <v/>
      </c>
      <c r="P85" s="2">
        <f>IF($F85="","",XLOOKUP($F85,tblProgressInput[project_id],tblProgressInput[progress_status],"Not Started",0,-1))</f>
        <v/>
      </c>
      <c r="Q85" s="2">
        <f>IF($F85="","",XLOOKUP($F85,tblProgressInput[project_id],tblProgressInput[issue_flag],"",0,-1))</f>
        <v/>
      </c>
    </row>
    <row r="86">
      <c r="A86" s="2">
        <f>IFERROR(INDEX(tblResourceInput[entry_id],ROW()-1),"")</f>
        <v/>
      </c>
      <c r="B86" s="2">
        <f>IF($A86="","",INDEX(tblResourceInput[employee_id],ROW()-1))</f>
        <v/>
      </c>
      <c r="C86" s="2">
        <f>IF($B86="","",XLOOKUP($B86,tblEmployeeMaster[employee_id],tblEmployeeMaster[employee_name],""))</f>
        <v/>
      </c>
      <c r="D86" s="2">
        <f>IF($B86="","",XLOOKUP($B86,tblEmployeeMaster[employee_id],tblEmployeeMaster[department],""))</f>
        <v/>
      </c>
      <c r="E86" s="2">
        <f>IF($A86="","",INDEX(tblResourceInput[work_date],ROW()-1))</f>
        <v/>
      </c>
      <c r="F86" s="2">
        <f>IF($A86="","",INDEX(tblResourceInput[project_id],ROW()-1))</f>
        <v/>
      </c>
      <c r="G86" s="2">
        <f>IF($F86="","",XLOOKUP($F86,tblProjectMaster[project_id],tblProjectMaster[project_name],""))</f>
        <v/>
      </c>
      <c r="H86" s="2">
        <f>IF($A86="","",INDEX(tblResourceInput[task_name],ROW()-1))</f>
        <v/>
      </c>
      <c r="I86" s="2">
        <f>IF($A86="","",INDEX(tblResourceInput[planned_hours],ROW()-1))</f>
        <v/>
      </c>
      <c r="J86" s="2">
        <f>IF($B86="","",XLOOKUP($B86,tblEmployeeMaster[employee_id],tblEmployeeMaster[daily_capacity_hours],0))</f>
        <v/>
      </c>
      <c r="K86" s="2">
        <f>IF($B86="","",SUMIFS(tblResourceInput[planned_hours],tblResourceInput[employee_id],$B86,tblResourceInput[work_date],$E86))</f>
        <v/>
      </c>
      <c r="L86" s="5">
        <f>IFERROR($K86/$J86,0)</f>
        <v/>
      </c>
      <c r="M86" s="2">
        <f>IF($A86="","",IF($K86&gt;$J86,"OVER","OK"))</f>
        <v/>
      </c>
      <c r="N86" s="2">
        <f>IF($A86="","",MAX($J86-$K86,0))</f>
        <v/>
      </c>
      <c r="O86" s="5">
        <f>IF($F86="","",MAXIFS(tblProgressInput[progress_percent],tblProgressInput[project_id],$F86))</f>
        <v/>
      </c>
      <c r="P86" s="2">
        <f>IF($F86="","",XLOOKUP($F86,tblProgressInput[project_id],tblProgressInput[progress_status],"Not Started",0,-1))</f>
        <v/>
      </c>
      <c r="Q86" s="2">
        <f>IF($F86="","",XLOOKUP($F86,tblProgressInput[project_id],tblProgressInput[issue_flag],"",0,-1))</f>
        <v/>
      </c>
    </row>
    <row r="87">
      <c r="A87" s="2">
        <f>IFERROR(INDEX(tblResourceInput[entry_id],ROW()-1),"")</f>
        <v/>
      </c>
      <c r="B87" s="2">
        <f>IF($A87="","",INDEX(tblResourceInput[employee_id],ROW()-1))</f>
        <v/>
      </c>
      <c r="C87" s="2">
        <f>IF($B87="","",XLOOKUP($B87,tblEmployeeMaster[employee_id],tblEmployeeMaster[employee_name],""))</f>
        <v/>
      </c>
      <c r="D87" s="2">
        <f>IF($B87="","",XLOOKUP($B87,tblEmployeeMaster[employee_id],tblEmployeeMaster[department],""))</f>
        <v/>
      </c>
      <c r="E87" s="2">
        <f>IF($A87="","",INDEX(tblResourceInput[work_date],ROW()-1))</f>
        <v/>
      </c>
      <c r="F87" s="2">
        <f>IF($A87="","",INDEX(tblResourceInput[project_id],ROW()-1))</f>
        <v/>
      </c>
      <c r="G87" s="2">
        <f>IF($F87="","",XLOOKUP($F87,tblProjectMaster[project_id],tblProjectMaster[project_name],""))</f>
        <v/>
      </c>
      <c r="H87" s="2">
        <f>IF($A87="","",INDEX(tblResourceInput[task_name],ROW()-1))</f>
        <v/>
      </c>
      <c r="I87" s="2">
        <f>IF($A87="","",INDEX(tblResourceInput[planned_hours],ROW()-1))</f>
        <v/>
      </c>
      <c r="J87" s="2">
        <f>IF($B87="","",XLOOKUP($B87,tblEmployeeMaster[employee_id],tblEmployeeMaster[daily_capacity_hours],0))</f>
        <v/>
      </c>
      <c r="K87" s="2">
        <f>IF($B87="","",SUMIFS(tblResourceInput[planned_hours],tblResourceInput[employee_id],$B87,tblResourceInput[work_date],$E87))</f>
        <v/>
      </c>
      <c r="L87" s="5">
        <f>IFERROR($K87/$J87,0)</f>
        <v/>
      </c>
      <c r="M87" s="2">
        <f>IF($A87="","",IF($K87&gt;$J87,"OVER","OK"))</f>
        <v/>
      </c>
      <c r="N87" s="2">
        <f>IF($A87="","",MAX($J87-$K87,0))</f>
        <v/>
      </c>
      <c r="O87" s="5">
        <f>IF($F87="","",MAXIFS(tblProgressInput[progress_percent],tblProgressInput[project_id],$F87))</f>
        <v/>
      </c>
      <c r="P87" s="2">
        <f>IF($F87="","",XLOOKUP($F87,tblProgressInput[project_id],tblProgressInput[progress_status],"Not Started",0,-1))</f>
        <v/>
      </c>
      <c r="Q87" s="2">
        <f>IF($F87="","",XLOOKUP($F87,tblProgressInput[project_id],tblProgressInput[issue_flag],"",0,-1))</f>
        <v/>
      </c>
    </row>
    <row r="88">
      <c r="A88" s="2">
        <f>IFERROR(INDEX(tblResourceInput[entry_id],ROW()-1),"")</f>
        <v/>
      </c>
      <c r="B88" s="2">
        <f>IF($A88="","",INDEX(tblResourceInput[employee_id],ROW()-1))</f>
        <v/>
      </c>
      <c r="C88" s="2">
        <f>IF($B88="","",XLOOKUP($B88,tblEmployeeMaster[employee_id],tblEmployeeMaster[employee_name],""))</f>
        <v/>
      </c>
      <c r="D88" s="2">
        <f>IF($B88="","",XLOOKUP($B88,tblEmployeeMaster[employee_id],tblEmployeeMaster[department],""))</f>
        <v/>
      </c>
      <c r="E88" s="2">
        <f>IF($A88="","",INDEX(tblResourceInput[work_date],ROW()-1))</f>
        <v/>
      </c>
      <c r="F88" s="2">
        <f>IF($A88="","",INDEX(tblResourceInput[project_id],ROW()-1))</f>
        <v/>
      </c>
      <c r="G88" s="2">
        <f>IF($F88="","",XLOOKUP($F88,tblProjectMaster[project_id],tblProjectMaster[project_name],""))</f>
        <v/>
      </c>
      <c r="H88" s="2">
        <f>IF($A88="","",INDEX(tblResourceInput[task_name],ROW()-1))</f>
        <v/>
      </c>
      <c r="I88" s="2">
        <f>IF($A88="","",INDEX(tblResourceInput[planned_hours],ROW()-1))</f>
        <v/>
      </c>
      <c r="J88" s="2">
        <f>IF($B88="","",XLOOKUP($B88,tblEmployeeMaster[employee_id],tblEmployeeMaster[daily_capacity_hours],0))</f>
        <v/>
      </c>
      <c r="K88" s="2">
        <f>IF($B88="","",SUMIFS(tblResourceInput[planned_hours],tblResourceInput[employee_id],$B88,tblResourceInput[work_date],$E88))</f>
        <v/>
      </c>
      <c r="L88" s="5">
        <f>IFERROR($K88/$J88,0)</f>
        <v/>
      </c>
      <c r="M88" s="2">
        <f>IF($A88="","",IF($K88&gt;$J88,"OVER","OK"))</f>
        <v/>
      </c>
      <c r="N88" s="2">
        <f>IF($A88="","",MAX($J88-$K88,0))</f>
        <v/>
      </c>
      <c r="O88" s="5">
        <f>IF($F88="","",MAXIFS(tblProgressInput[progress_percent],tblProgressInput[project_id],$F88))</f>
        <v/>
      </c>
      <c r="P88" s="2">
        <f>IF($F88="","",XLOOKUP($F88,tblProgressInput[project_id],tblProgressInput[progress_status],"Not Started",0,-1))</f>
        <v/>
      </c>
      <c r="Q88" s="2">
        <f>IF($F88="","",XLOOKUP($F88,tblProgressInput[project_id],tblProgressInput[issue_flag],"",0,-1))</f>
        <v/>
      </c>
    </row>
    <row r="89">
      <c r="A89" s="2">
        <f>IFERROR(INDEX(tblResourceInput[entry_id],ROW()-1),"")</f>
        <v/>
      </c>
      <c r="B89" s="2">
        <f>IF($A89="","",INDEX(tblResourceInput[employee_id],ROW()-1))</f>
        <v/>
      </c>
      <c r="C89" s="2">
        <f>IF($B89="","",XLOOKUP($B89,tblEmployeeMaster[employee_id],tblEmployeeMaster[employee_name],""))</f>
        <v/>
      </c>
      <c r="D89" s="2">
        <f>IF($B89="","",XLOOKUP($B89,tblEmployeeMaster[employee_id],tblEmployeeMaster[department],""))</f>
        <v/>
      </c>
      <c r="E89" s="2">
        <f>IF($A89="","",INDEX(tblResourceInput[work_date],ROW()-1))</f>
        <v/>
      </c>
      <c r="F89" s="2">
        <f>IF($A89="","",INDEX(tblResourceInput[project_id],ROW()-1))</f>
        <v/>
      </c>
      <c r="G89" s="2">
        <f>IF($F89="","",XLOOKUP($F89,tblProjectMaster[project_id],tblProjectMaster[project_name],""))</f>
        <v/>
      </c>
      <c r="H89" s="2">
        <f>IF($A89="","",INDEX(tblResourceInput[task_name],ROW()-1))</f>
        <v/>
      </c>
      <c r="I89" s="2">
        <f>IF($A89="","",INDEX(tblResourceInput[planned_hours],ROW()-1))</f>
        <v/>
      </c>
      <c r="J89" s="2">
        <f>IF($B89="","",XLOOKUP($B89,tblEmployeeMaster[employee_id],tblEmployeeMaster[daily_capacity_hours],0))</f>
        <v/>
      </c>
      <c r="K89" s="2">
        <f>IF($B89="","",SUMIFS(tblResourceInput[planned_hours],tblResourceInput[employee_id],$B89,tblResourceInput[work_date],$E89))</f>
        <v/>
      </c>
      <c r="L89" s="5">
        <f>IFERROR($K89/$J89,0)</f>
        <v/>
      </c>
      <c r="M89" s="2">
        <f>IF($A89="","",IF($K89&gt;$J89,"OVER","OK"))</f>
        <v/>
      </c>
      <c r="N89" s="2">
        <f>IF($A89="","",MAX($J89-$K89,0))</f>
        <v/>
      </c>
      <c r="O89" s="5">
        <f>IF($F89="","",MAXIFS(tblProgressInput[progress_percent],tblProgressInput[project_id],$F89))</f>
        <v/>
      </c>
      <c r="P89" s="2">
        <f>IF($F89="","",XLOOKUP($F89,tblProgressInput[project_id],tblProgressInput[progress_status],"Not Started",0,-1))</f>
        <v/>
      </c>
      <c r="Q89" s="2">
        <f>IF($F89="","",XLOOKUP($F89,tblProgressInput[project_id],tblProgressInput[issue_flag],"",0,-1))</f>
        <v/>
      </c>
    </row>
    <row r="90">
      <c r="A90" s="2">
        <f>IFERROR(INDEX(tblResourceInput[entry_id],ROW()-1),"")</f>
        <v/>
      </c>
      <c r="B90" s="2">
        <f>IF($A90="","",INDEX(tblResourceInput[employee_id],ROW()-1))</f>
        <v/>
      </c>
      <c r="C90" s="2">
        <f>IF($B90="","",XLOOKUP($B90,tblEmployeeMaster[employee_id],tblEmployeeMaster[employee_name],""))</f>
        <v/>
      </c>
      <c r="D90" s="2">
        <f>IF($B90="","",XLOOKUP($B90,tblEmployeeMaster[employee_id],tblEmployeeMaster[department],""))</f>
        <v/>
      </c>
      <c r="E90" s="2">
        <f>IF($A90="","",INDEX(tblResourceInput[work_date],ROW()-1))</f>
        <v/>
      </c>
      <c r="F90" s="2">
        <f>IF($A90="","",INDEX(tblResourceInput[project_id],ROW()-1))</f>
        <v/>
      </c>
      <c r="G90" s="2">
        <f>IF($F90="","",XLOOKUP($F90,tblProjectMaster[project_id],tblProjectMaster[project_name],""))</f>
        <v/>
      </c>
      <c r="H90" s="2">
        <f>IF($A90="","",INDEX(tblResourceInput[task_name],ROW()-1))</f>
        <v/>
      </c>
      <c r="I90" s="2">
        <f>IF($A90="","",INDEX(tblResourceInput[planned_hours],ROW()-1))</f>
        <v/>
      </c>
      <c r="J90" s="2">
        <f>IF($B90="","",XLOOKUP($B90,tblEmployeeMaster[employee_id],tblEmployeeMaster[daily_capacity_hours],0))</f>
        <v/>
      </c>
      <c r="K90" s="2">
        <f>IF($B90="","",SUMIFS(tblResourceInput[planned_hours],tblResourceInput[employee_id],$B90,tblResourceInput[work_date],$E90))</f>
        <v/>
      </c>
      <c r="L90" s="5">
        <f>IFERROR($K90/$J90,0)</f>
        <v/>
      </c>
      <c r="M90" s="2">
        <f>IF($A90="","",IF($K90&gt;$J90,"OVER","OK"))</f>
        <v/>
      </c>
      <c r="N90" s="2">
        <f>IF($A90="","",MAX($J90-$K90,0))</f>
        <v/>
      </c>
      <c r="O90" s="5">
        <f>IF($F90="","",MAXIFS(tblProgressInput[progress_percent],tblProgressInput[project_id],$F90))</f>
        <v/>
      </c>
      <c r="P90" s="2">
        <f>IF($F90="","",XLOOKUP($F90,tblProgressInput[project_id],tblProgressInput[progress_status],"Not Started",0,-1))</f>
        <v/>
      </c>
      <c r="Q90" s="2">
        <f>IF($F90="","",XLOOKUP($F90,tblProgressInput[project_id],tblProgressInput[issue_flag],"",0,-1))</f>
        <v/>
      </c>
    </row>
    <row r="91">
      <c r="A91" s="2">
        <f>IFERROR(INDEX(tblResourceInput[entry_id],ROW()-1),"")</f>
        <v/>
      </c>
      <c r="B91" s="2">
        <f>IF($A91="","",INDEX(tblResourceInput[employee_id],ROW()-1))</f>
        <v/>
      </c>
      <c r="C91" s="2">
        <f>IF($B91="","",XLOOKUP($B91,tblEmployeeMaster[employee_id],tblEmployeeMaster[employee_name],""))</f>
        <v/>
      </c>
      <c r="D91" s="2">
        <f>IF($B91="","",XLOOKUP($B91,tblEmployeeMaster[employee_id],tblEmployeeMaster[department],""))</f>
        <v/>
      </c>
      <c r="E91" s="2">
        <f>IF($A91="","",INDEX(tblResourceInput[work_date],ROW()-1))</f>
        <v/>
      </c>
      <c r="F91" s="2">
        <f>IF($A91="","",INDEX(tblResourceInput[project_id],ROW()-1))</f>
        <v/>
      </c>
      <c r="G91" s="2">
        <f>IF($F91="","",XLOOKUP($F91,tblProjectMaster[project_id],tblProjectMaster[project_name],""))</f>
        <v/>
      </c>
      <c r="H91" s="2">
        <f>IF($A91="","",INDEX(tblResourceInput[task_name],ROW()-1))</f>
        <v/>
      </c>
      <c r="I91" s="2">
        <f>IF($A91="","",INDEX(tblResourceInput[planned_hours],ROW()-1))</f>
        <v/>
      </c>
      <c r="J91" s="2">
        <f>IF($B91="","",XLOOKUP($B91,tblEmployeeMaster[employee_id],tblEmployeeMaster[daily_capacity_hours],0))</f>
        <v/>
      </c>
      <c r="K91" s="2">
        <f>IF($B91="","",SUMIFS(tblResourceInput[planned_hours],tblResourceInput[employee_id],$B91,tblResourceInput[work_date],$E91))</f>
        <v/>
      </c>
      <c r="L91" s="5">
        <f>IFERROR($K91/$J91,0)</f>
        <v/>
      </c>
      <c r="M91" s="2">
        <f>IF($A91="","",IF($K91&gt;$J91,"OVER","OK"))</f>
        <v/>
      </c>
      <c r="N91" s="2">
        <f>IF($A91="","",MAX($J91-$K91,0))</f>
        <v/>
      </c>
      <c r="O91" s="5">
        <f>IF($F91="","",MAXIFS(tblProgressInput[progress_percent],tblProgressInput[project_id],$F91))</f>
        <v/>
      </c>
      <c r="P91" s="2">
        <f>IF($F91="","",XLOOKUP($F91,tblProgressInput[project_id],tblProgressInput[progress_status],"Not Started",0,-1))</f>
        <v/>
      </c>
      <c r="Q91" s="2">
        <f>IF($F91="","",XLOOKUP($F91,tblProgressInput[project_id],tblProgressInput[issue_flag],"",0,-1))</f>
        <v/>
      </c>
    </row>
    <row r="92">
      <c r="A92" s="2">
        <f>IFERROR(INDEX(tblResourceInput[entry_id],ROW()-1),"")</f>
        <v/>
      </c>
      <c r="B92" s="2">
        <f>IF($A92="","",INDEX(tblResourceInput[employee_id],ROW()-1))</f>
        <v/>
      </c>
      <c r="C92" s="2">
        <f>IF($B92="","",XLOOKUP($B92,tblEmployeeMaster[employee_id],tblEmployeeMaster[employee_name],""))</f>
        <v/>
      </c>
      <c r="D92" s="2">
        <f>IF($B92="","",XLOOKUP($B92,tblEmployeeMaster[employee_id],tblEmployeeMaster[department],""))</f>
        <v/>
      </c>
      <c r="E92" s="2">
        <f>IF($A92="","",INDEX(tblResourceInput[work_date],ROW()-1))</f>
        <v/>
      </c>
      <c r="F92" s="2">
        <f>IF($A92="","",INDEX(tblResourceInput[project_id],ROW()-1))</f>
        <v/>
      </c>
      <c r="G92" s="2">
        <f>IF($F92="","",XLOOKUP($F92,tblProjectMaster[project_id],tblProjectMaster[project_name],""))</f>
        <v/>
      </c>
      <c r="H92" s="2">
        <f>IF($A92="","",INDEX(tblResourceInput[task_name],ROW()-1))</f>
        <v/>
      </c>
      <c r="I92" s="2">
        <f>IF($A92="","",INDEX(tblResourceInput[planned_hours],ROW()-1))</f>
        <v/>
      </c>
      <c r="J92" s="2">
        <f>IF($B92="","",XLOOKUP($B92,tblEmployeeMaster[employee_id],tblEmployeeMaster[daily_capacity_hours],0))</f>
        <v/>
      </c>
      <c r="K92" s="2">
        <f>IF($B92="","",SUMIFS(tblResourceInput[planned_hours],tblResourceInput[employee_id],$B92,tblResourceInput[work_date],$E92))</f>
        <v/>
      </c>
      <c r="L92" s="5">
        <f>IFERROR($K92/$J92,0)</f>
        <v/>
      </c>
      <c r="M92" s="2">
        <f>IF($A92="","",IF($K92&gt;$J92,"OVER","OK"))</f>
        <v/>
      </c>
      <c r="N92" s="2">
        <f>IF($A92="","",MAX($J92-$K92,0))</f>
        <v/>
      </c>
      <c r="O92" s="5">
        <f>IF($F92="","",MAXIFS(tblProgressInput[progress_percent],tblProgressInput[project_id],$F92))</f>
        <v/>
      </c>
      <c r="P92" s="2">
        <f>IF($F92="","",XLOOKUP($F92,tblProgressInput[project_id],tblProgressInput[progress_status],"Not Started",0,-1))</f>
        <v/>
      </c>
      <c r="Q92" s="2">
        <f>IF($F92="","",XLOOKUP($F92,tblProgressInput[project_id],tblProgressInput[issue_flag],"",0,-1))</f>
        <v/>
      </c>
    </row>
    <row r="93">
      <c r="A93" s="2">
        <f>IFERROR(INDEX(tblResourceInput[entry_id],ROW()-1),"")</f>
        <v/>
      </c>
      <c r="B93" s="2">
        <f>IF($A93="","",INDEX(tblResourceInput[employee_id],ROW()-1))</f>
        <v/>
      </c>
      <c r="C93" s="2">
        <f>IF($B93="","",XLOOKUP($B93,tblEmployeeMaster[employee_id],tblEmployeeMaster[employee_name],""))</f>
        <v/>
      </c>
      <c r="D93" s="2">
        <f>IF($B93="","",XLOOKUP($B93,tblEmployeeMaster[employee_id],tblEmployeeMaster[department],""))</f>
        <v/>
      </c>
      <c r="E93" s="2">
        <f>IF($A93="","",INDEX(tblResourceInput[work_date],ROW()-1))</f>
        <v/>
      </c>
      <c r="F93" s="2">
        <f>IF($A93="","",INDEX(tblResourceInput[project_id],ROW()-1))</f>
        <v/>
      </c>
      <c r="G93" s="2">
        <f>IF($F93="","",XLOOKUP($F93,tblProjectMaster[project_id],tblProjectMaster[project_name],""))</f>
        <v/>
      </c>
      <c r="H93" s="2">
        <f>IF($A93="","",INDEX(tblResourceInput[task_name],ROW()-1))</f>
        <v/>
      </c>
      <c r="I93" s="2">
        <f>IF($A93="","",INDEX(tblResourceInput[planned_hours],ROW()-1))</f>
        <v/>
      </c>
      <c r="J93" s="2">
        <f>IF($B93="","",XLOOKUP($B93,tblEmployeeMaster[employee_id],tblEmployeeMaster[daily_capacity_hours],0))</f>
        <v/>
      </c>
      <c r="K93" s="2">
        <f>IF($B93="","",SUMIFS(tblResourceInput[planned_hours],tblResourceInput[employee_id],$B93,tblResourceInput[work_date],$E93))</f>
        <v/>
      </c>
      <c r="L93" s="5">
        <f>IFERROR($K93/$J93,0)</f>
        <v/>
      </c>
      <c r="M93" s="2">
        <f>IF($A93="","",IF($K93&gt;$J93,"OVER","OK"))</f>
        <v/>
      </c>
      <c r="N93" s="2">
        <f>IF($A93="","",MAX($J93-$K93,0))</f>
        <v/>
      </c>
      <c r="O93" s="5">
        <f>IF($F93="","",MAXIFS(tblProgressInput[progress_percent],tblProgressInput[project_id],$F93))</f>
        <v/>
      </c>
      <c r="P93" s="2">
        <f>IF($F93="","",XLOOKUP($F93,tblProgressInput[project_id],tblProgressInput[progress_status],"Not Started",0,-1))</f>
        <v/>
      </c>
      <c r="Q93" s="2">
        <f>IF($F93="","",XLOOKUP($F93,tblProgressInput[project_id],tblProgressInput[issue_flag],"",0,-1))</f>
        <v/>
      </c>
    </row>
    <row r="94">
      <c r="A94" s="2">
        <f>IFERROR(INDEX(tblResourceInput[entry_id],ROW()-1),"")</f>
        <v/>
      </c>
      <c r="B94" s="2">
        <f>IF($A94="","",INDEX(tblResourceInput[employee_id],ROW()-1))</f>
        <v/>
      </c>
      <c r="C94" s="2">
        <f>IF($B94="","",XLOOKUP($B94,tblEmployeeMaster[employee_id],tblEmployeeMaster[employee_name],""))</f>
        <v/>
      </c>
      <c r="D94" s="2">
        <f>IF($B94="","",XLOOKUP($B94,tblEmployeeMaster[employee_id],tblEmployeeMaster[department],""))</f>
        <v/>
      </c>
      <c r="E94" s="2">
        <f>IF($A94="","",INDEX(tblResourceInput[work_date],ROW()-1))</f>
        <v/>
      </c>
      <c r="F94" s="2">
        <f>IF($A94="","",INDEX(tblResourceInput[project_id],ROW()-1))</f>
        <v/>
      </c>
      <c r="G94" s="2">
        <f>IF($F94="","",XLOOKUP($F94,tblProjectMaster[project_id],tblProjectMaster[project_name],""))</f>
        <v/>
      </c>
      <c r="H94" s="2">
        <f>IF($A94="","",INDEX(tblResourceInput[task_name],ROW()-1))</f>
        <v/>
      </c>
      <c r="I94" s="2">
        <f>IF($A94="","",INDEX(tblResourceInput[planned_hours],ROW()-1))</f>
        <v/>
      </c>
      <c r="J94" s="2">
        <f>IF($B94="","",XLOOKUP($B94,tblEmployeeMaster[employee_id],tblEmployeeMaster[daily_capacity_hours],0))</f>
        <v/>
      </c>
      <c r="K94" s="2">
        <f>IF($B94="","",SUMIFS(tblResourceInput[planned_hours],tblResourceInput[employee_id],$B94,tblResourceInput[work_date],$E94))</f>
        <v/>
      </c>
      <c r="L94" s="5">
        <f>IFERROR($K94/$J94,0)</f>
        <v/>
      </c>
      <c r="M94" s="2">
        <f>IF($A94="","",IF($K94&gt;$J94,"OVER","OK"))</f>
        <v/>
      </c>
      <c r="N94" s="2">
        <f>IF($A94="","",MAX($J94-$K94,0))</f>
        <v/>
      </c>
      <c r="O94" s="5">
        <f>IF($F94="","",MAXIFS(tblProgressInput[progress_percent],tblProgressInput[project_id],$F94))</f>
        <v/>
      </c>
      <c r="P94" s="2">
        <f>IF($F94="","",XLOOKUP($F94,tblProgressInput[project_id],tblProgressInput[progress_status],"Not Started",0,-1))</f>
        <v/>
      </c>
      <c r="Q94" s="2">
        <f>IF($F94="","",XLOOKUP($F94,tblProgressInput[project_id],tblProgressInput[issue_flag],"",0,-1))</f>
        <v/>
      </c>
    </row>
    <row r="95">
      <c r="A95" s="2">
        <f>IFERROR(INDEX(tblResourceInput[entry_id],ROW()-1),"")</f>
        <v/>
      </c>
      <c r="B95" s="2">
        <f>IF($A95="","",INDEX(tblResourceInput[employee_id],ROW()-1))</f>
        <v/>
      </c>
      <c r="C95" s="2">
        <f>IF($B95="","",XLOOKUP($B95,tblEmployeeMaster[employee_id],tblEmployeeMaster[employee_name],""))</f>
        <v/>
      </c>
      <c r="D95" s="2">
        <f>IF($B95="","",XLOOKUP($B95,tblEmployeeMaster[employee_id],tblEmployeeMaster[department],""))</f>
        <v/>
      </c>
      <c r="E95" s="2">
        <f>IF($A95="","",INDEX(tblResourceInput[work_date],ROW()-1))</f>
        <v/>
      </c>
      <c r="F95" s="2">
        <f>IF($A95="","",INDEX(tblResourceInput[project_id],ROW()-1))</f>
        <v/>
      </c>
      <c r="G95" s="2">
        <f>IF($F95="","",XLOOKUP($F95,tblProjectMaster[project_id],tblProjectMaster[project_name],""))</f>
        <v/>
      </c>
      <c r="H95" s="2">
        <f>IF($A95="","",INDEX(tblResourceInput[task_name],ROW()-1))</f>
        <v/>
      </c>
      <c r="I95" s="2">
        <f>IF($A95="","",INDEX(tblResourceInput[planned_hours],ROW()-1))</f>
        <v/>
      </c>
      <c r="J95" s="2">
        <f>IF($B95="","",XLOOKUP($B95,tblEmployeeMaster[employee_id],tblEmployeeMaster[daily_capacity_hours],0))</f>
        <v/>
      </c>
      <c r="K95" s="2">
        <f>IF($B95="","",SUMIFS(tblResourceInput[planned_hours],tblResourceInput[employee_id],$B95,tblResourceInput[work_date],$E95))</f>
        <v/>
      </c>
      <c r="L95" s="5">
        <f>IFERROR($K95/$J95,0)</f>
        <v/>
      </c>
      <c r="M95" s="2">
        <f>IF($A95="","",IF($K95&gt;$J95,"OVER","OK"))</f>
        <v/>
      </c>
      <c r="N95" s="2">
        <f>IF($A95="","",MAX($J95-$K95,0))</f>
        <v/>
      </c>
      <c r="O95" s="5">
        <f>IF($F95="","",MAXIFS(tblProgressInput[progress_percent],tblProgressInput[project_id],$F95))</f>
        <v/>
      </c>
      <c r="P95" s="2">
        <f>IF($F95="","",XLOOKUP($F95,tblProgressInput[project_id],tblProgressInput[progress_status],"Not Started",0,-1))</f>
        <v/>
      </c>
      <c r="Q95" s="2">
        <f>IF($F95="","",XLOOKUP($F95,tblProgressInput[project_id],tblProgressInput[issue_flag],"",0,-1))</f>
        <v/>
      </c>
    </row>
    <row r="96">
      <c r="A96" s="2">
        <f>IFERROR(INDEX(tblResourceInput[entry_id],ROW()-1),"")</f>
        <v/>
      </c>
      <c r="B96" s="2">
        <f>IF($A96="","",INDEX(tblResourceInput[employee_id],ROW()-1))</f>
        <v/>
      </c>
      <c r="C96" s="2">
        <f>IF($B96="","",XLOOKUP($B96,tblEmployeeMaster[employee_id],tblEmployeeMaster[employee_name],""))</f>
        <v/>
      </c>
      <c r="D96" s="2">
        <f>IF($B96="","",XLOOKUP($B96,tblEmployeeMaster[employee_id],tblEmployeeMaster[department],""))</f>
        <v/>
      </c>
      <c r="E96" s="2">
        <f>IF($A96="","",INDEX(tblResourceInput[work_date],ROW()-1))</f>
        <v/>
      </c>
      <c r="F96" s="2">
        <f>IF($A96="","",INDEX(tblResourceInput[project_id],ROW()-1))</f>
        <v/>
      </c>
      <c r="G96" s="2">
        <f>IF($F96="","",XLOOKUP($F96,tblProjectMaster[project_id],tblProjectMaster[project_name],""))</f>
        <v/>
      </c>
      <c r="H96" s="2">
        <f>IF($A96="","",INDEX(tblResourceInput[task_name],ROW()-1))</f>
        <v/>
      </c>
      <c r="I96" s="2">
        <f>IF($A96="","",INDEX(tblResourceInput[planned_hours],ROW()-1))</f>
        <v/>
      </c>
      <c r="J96" s="2">
        <f>IF($B96="","",XLOOKUP($B96,tblEmployeeMaster[employee_id],tblEmployeeMaster[daily_capacity_hours],0))</f>
        <v/>
      </c>
      <c r="K96" s="2">
        <f>IF($B96="","",SUMIFS(tblResourceInput[planned_hours],tblResourceInput[employee_id],$B96,tblResourceInput[work_date],$E96))</f>
        <v/>
      </c>
      <c r="L96" s="5">
        <f>IFERROR($K96/$J96,0)</f>
        <v/>
      </c>
      <c r="M96" s="2">
        <f>IF($A96="","",IF($K96&gt;$J96,"OVER","OK"))</f>
        <v/>
      </c>
      <c r="N96" s="2">
        <f>IF($A96="","",MAX($J96-$K96,0))</f>
        <v/>
      </c>
      <c r="O96" s="5">
        <f>IF($F96="","",MAXIFS(tblProgressInput[progress_percent],tblProgressInput[project_id],$F96))</f>
        <v/>
      </c>
      <c r="P96" s="2">
        <f>IF($F96="","",XLOOKUP($F96,tblProgressInput[project_id],tblProgressInput[progress_status],"Not Started",0,-1))</f>
        <v/>
      </c>
      <c r="Q96" s="2">
        <f>IF($F96="","",XLOOKUP($F96,tblProgressInput[project_id],tblProgressInput[issue_flag],"",0,-1))</f>
        <v/>
      </c>
    </row>
    <row r="97">
      <c r="A97" s="2">
        <f>IFERROR(INDEX(tblResourceInput[entry_id],ROW()-1),"")</f>
        <v/>
      </c>
      <c r="B97" s="2">
        <f>IF($A97="","",INDEX(tblResourceInput[employee_id],ROW()-1))</f>
        <v/>
      </c>
      <c r="C97" s="2">
        <f>IF($B97="","",XLOOKUP($B97,tblEmployeeMaster[employee_id],tblEmployeeMaster[employee_name],""))</f>
        <v/>
      </c>
      <c r="D97" s="2">
        <f>IF($B97="","",XLOOKUP($B97,tblEmployeeMaster[employee_id],tblEmployeeMaster[department],""))</f>
        <v/>
      </c>
      <c r="E97" s="2">
        <f>IF($A97="","",INDEX(tblResourceInput[work_date],ROW()-1))</f>
        <v/>
      </c>
      <c r="F97" s="2">
        <f>IF($A97="","",INDEX(tblResourceInput[project_id],ROW()-1))</f>
        <v/>
      </c>
      <c r="G97" s="2">
        <f>IF($F97="","",XLOOKUP($F97,tblProjectMaster[project_id],tblProjectMaster[project_name],""))</f>
        <v/>
      </c>
      <c r="H97" s="2">
        <f>IF($A97="","",INDEX(tblResourceInput[task_name],ROW()-1))</f>
        <v/>
      </c>
      <c r="I97" s="2">
        <f>IF($A97="","",INDEX(tblResourceInput[planned_hours],ROW()-1))</f>
        <v/>
      </c>
      <c r="J97" s="2">
        <f>IF($B97="","",XLOOKUP($B97,tblEmployeeMaster[employee_id],tblEmployeeMaster[daily_capacity_hours],0))</f>
        <v/>
      </c>
      <c r="K97" s="2">
        <f>IF($B97="","",SUMIFS(tblResourceInput[planned_hours],tblResourceInput[employee_id],$B97,tblResourceInput[work_date],$E97))</f>
        <v/>
      </c>
      <c r="L97" s="5">
        <f>IFERROR($K97/$J97,0)</f>
        <v/>
      </c>
      <c r="M97" s="2">
        <f>IF($A97="","",IF($K97&gt;$J97,"OVER","OK"))</f>
        <v/>
      </c>
      <c r="N97" s="2">
        <f>IF($A97="","",MAX($J97-$K97,0))</f>
        <v/>
      </c>
      <c r="O97" s="5">
        <f>IF($F97="","",MAXIFS(tblProgressInput[progress_percent],tblProgressInput[project_id],$F97))</f>
        <v/>
      </c>
      <c r="P97" s="2">
        <f>IF($F97="","",XLOOKUP($F97,tblProgressInput[project_id],tblProgressInput[progress_status],"Not Started",0,-1))</f>
        <v/>
      </c>
      <c r="Q97" s="2">
        <f>IF($F97="","",XLOOKUP($F97,tblProgressInput[project_id],tblProgressInput[issue_flag],"",0,-1))</f>
        <v/>
      </c>
    </row>
    <row r="98">
      <c r="A98" s="2">
        <f>IFERROR(INDEX(tblResourceInput[entry_id],ROW()-1),"")</f>
        <v/>
      </c>
      <c r="B98" s="2">
        <f>IF($A98="","",INDEX(tblResourceInput[employee_id],ROW()-1))</f>
        <v/>
      </c>
      <c r="C98" s="2">
        <f>IF($B98="","",XLOOKUP($B98,tblEmployeeMaster[employee_id],tblEmployeeMaster[employee_name],""))</f>
        <v/>
      </c>
      <c r="D98" s="2">
        <f>IF($B98="","",XLOOKUP($B98,tblEmployeeMaster[employee_id],tblEmployeeMaster[department],""))</f>
        <v/>
      </c>
      <c r="E98" s="2">
        <f>IF($A98="","",INDEX(tblResourceInput[work_date],ROW()-1))</f>
        <v/>
      </c>
      <c r="F98" s="2">
        <f>IF($A98="","",INDEX(tblResourceInput[project_id],ROW()-1))</f>
        <v/>
      </c>
      <c r="G98" s="2">
        <f>IF($F98="","",XLOOKUP($F98,tblProjectMaster[project_id],tblProjectMaster[project_name],""))</f>
        <v/>
      </c>
      <c r="H98" s="2">
        <f>IF($A98="","",INDEX(tblResourceInput[task_name],ROW()-1))</f>
        <v/>
      </c>
      <c r="I98" s="2">
        <f>IF($A98="","",INDEX(tblResourceInput[planned_hours],ROW()-1))</f>
        <v/>
      </c>
      <c r="J98" s="2">
        <f>IF($B98="","",XLOOKUP($B98,tblEmployeeMaster[employee_id],tblEmployeeMaster[daily_capacity_hours],0))</f>
        <v/>
      </c>
      <c r="K98" s="2">
        <f>IF($B98="","",SUMIFS(tblResourceInput[planned_hours],tblResourceInput[employee_id],$B98,tblResourceInput[work_date],$E98))</f>
        <v/>
      </c>
      <c r="L98" s="5">
        <f>IFERROR($K98/$J98,0)</f>
        <v/>
      </c>
      <c r="M98" s="2">
        <f>IF($A98="","",IF($K98&gt;$J98,"OVER","OK"))</f>
        <v/>
      </c>
      <c r="N98" s="2">
        <f>IF($A98="","",MAX($J98-$K98,0))</f>
        <v/>
      </c>
      <c r="O98" s="5">
        <f>IF($F98="","",MAXIFS(tblProgressInput[progress_percent],tblProgressInput[project_id],$F98))</f>
        <v/>
      </c>
      <c r="P98" s="2">
        <f>IF($F98="","",XLOOKUP($F98,tblProgressInput[project_id],tblProgressInput[progress_status],"Not Started",0,-1))</f>
        <v/>
      </c>
      <c r="Q98" s="2">
        <f>IF($F98="","",XLOOKUP($F98,tblProgressInput[project_id],tblProgressInput[issue_flag],"",0,-1))</f>
        <v/>
      </c>
    </row>
    <row r="99">
      <c r="A99" s="2">
        <f>IFERROR(INDEX(tblResourceInput[entry_id],ROW()-1),"")</f>
        <v/>
      </c>
      <c r="B99" s="2">
        <f>IF($A99="","",INDEX(tblResourceInput[employee_id],ROW()-1))</f>
        <v/>
      </c>
      <c r="C99" s="2">
        <f>IF($B99="","",XLOOKUP($B99,tblEmployeeMaster[employee_id],tblEmployeeMaster[employee_name],""))</f>
        <v/>
      </c>
      <c r="D99" s="2">
        <f>IF($B99="","",XLOOKUP($B99,tblEmployeeMaster[employee_id],tblEmployeeMaster[department],""))</f>
        <v/>
      </c>
      <c r="E99" s="2">
        <f>IF($A99="","",INDEX(tblResourceInput[work_date],ROW()-1))</f>
        <v/>
      </c>
      <c r="F99" s="2">
        <f>IF($A99="","",INDEX(tblResourceInput[project_id],ROW()-1))</f>
        <v/>
      </c>
      <c r="G99" s="2">
        <f>IF($F99="","",XLOOKUP($F99,tblProjectMaster[project_id],tblProjectMaster[project_name],""))</f>
        <v/>
      </c>
      <c r="H99" s="2">
        <f>IF($A99="","",INDEX(tblResourceInput[task_name],ROW()-1))</f>
        <v/>
      </c>
      <c r="I99" s="2">
        <f>IF($A99="","",INDEX(tblResourceInput[planned_hours],ROW()-1))</f>
        <v/>
      </c>
      <c r="J99" s="2">
        <f>IF($B99="","",XLOOKUP($B99,tblEmployeeMaster[employee_id],tblEmployeeMaster[daily_capacity_hours],0))</f>
        <v/>
      </c>
      <c r="K99" s="2">
        <f>IF($B99="","",SUMIFS(tblResourceInput[planned_hours],tblResourceInput[employee_id],$B99,tblResourceInput[work_date],$E99))</f>
        <v/>
      </c>
      <c r="L99" s="5">
        <f>IFERROR($K99/$J99,0)</f>
        <v/>
      </c>
      <c r="M99" s="2">
        <f>IF($A99="","",IF($K99&gt;$J99,"OVER","OK"))</f>
        <v/>
      </c>
      <c r="N99" s="2">
        <f>IF($A99="","",MAX($J99-$K99,0))</f>
        <v/>
      </c>
      <c r="O99" s="5">
        <f>IF($F99="","",MAXIFS(tblProgressInput[progress_percent],tblProgressInput[project_id],$F99))</f>
        <v/>
      </c>
      <c r="P99" s="2">
        <f>IF($F99="","",XLOOKUP($F99,tblProgressInput[project_id],tblProgressInput[progress_status],"Not Started",0,-1))</f>
        <v/>
      </c>
      <c r="Q99" s="2">
        <f>IF($F99="","",XLOOKUP($F99,tblProgressInput[project_id],tblProgressInput[issue_flag],"",0,-1))</f>
        <v/>
      </c>
    </row>
    <row r="100">
      <c r="A100" s="2">
        <f>IFERROR(INDEX(tblResourceInput[entry_id],ROW()-1),"")</f>
        <v/>
      </c>
      <c r="B100" s="2">
        <f>IF($A100="","",INDEX(tblResourceInput[employee_id],ROW()-1))</f>
        <v/>
      </c>
      <c r="C100" s="2">
        <f>IF($B100="","",XLOOKUP($B100,tblEmployeeMaster[employee_id],tblEmployeeMaster[employee_name],""))</f>
        <v/>
      </c>
      <c r="D100" s="2">
        <f>IF($B100="","",XLOOKUP($B100,tblEmployeeMaster[employee_id],tblEmployeeMaster[department],""))</f>
        <v/>
      </c>
      <c r="E100" s="2">
        <f>IF($A100="","",INDEX(tblResourceInput[work_date],ROW()-1))</f>
        <v/>
      </c>
      <c r="F100" s="2">
        <f>IF($A100="","",INDEX(tblResourceInput[project_id],ROW()-1))</f>
        <v/>
      </c>
      <c r="G100" s="2">
        <f>IF($F100="","",XLOOKUP($F100,tblProjectMaster[project_id],tblProjectMaster[project_name],""))</f>
        <v/>
      </c>
      <c r="H100" s="2">
        <f>IF($A100="","",INDEX(tblResourceInput[task_name],ROW()-1))</f>
        <v/>
      </c>
      <c r="I100" s="2">
        <f>IF($A100="","",INDEX(tblResourceInput[planned_hours],ROW()-1))</f>
        <v/>
      </c>
      <c r="J100" s="2">
        <f>IF($B100="","",XLOOKUP($B100,tblEmployeeMaster[employee_id],tblEmployeeMaster[daily_capacity_hours],0))</f>
        <v/>
      </c>
      <c r="K100" s="2">
        <f>IF($B100="","",SUMIFS(tblResourceInput[planned_hours],tblResourceInput[employee_id],$B100,tblResourceInput[work_date],$E100))</f>
        <v/>
      </c>
      <c r="L100" s="5">
        <f>IFERROR($K100/$J100,0)</f>
        <v/>
      </c>
      <c r="M100" s="2">
        <f>IF($A100="","",IF($K100&gt;$J100,"OVER","OK"))</f>
        <v/>
      </c>
      <c r="N100" s="2">
        <f>IF($A100="","",MAX($J100-$K100,0))</f>
        <v/>
      </c>
      <c r="O100" s="5">
        <f>IF($F100="","",MAXIFS(tblProgressInput[progress_percent],tblProgressInput[project_id],$F100))</f>
        <v/>
      </c>
      <c r="P100" s="2">
        <f>IF($F100="","",XLOOKUP($F100,tblProgressInput[project_id],tblProgressInput[progress_status],"Not Started",0,-1))</f>
        <v/>
      </c>
      <c r="Q100" s="2">
        <f>IF($F100="","",XLOOKUP($F100,tblProgressInput[project_id],tblProgressInput[issue_flag],"",0,-1))</f>
        <v/>
      </c>
    </row>
    <row r="101">
      <c r="A101" s="2">
        <f>IFERROR(INDEX(tblResourceInput[entry_id],ROW()-1),"")</f>
        <v/>
      </c>
      <c r="B101" s="2">
        <f>IF($A101="","",INDEX(tblResourceInput[employee_id],ROW()-1))</f>
        <v/>
      </c>
      <c r="C101" s="2">
        <f>IF($B101="","",XLOOKUP($B101,tblEmployeeMaster[employee_id],tblEmployeeMaster[employee_name],""))</f>
        <v/>
      </c>
      <c r="D101" s="2">
        <f>IF($B101="","",XLOOKUP($B101,tblEmployeeMaster[employee_id],tblEmployeeMaster[department],""))</f>
        <v/>
      </c>
      <c r="E101" s="2">
        <f>IF($A101="","",INDEX(tblResourceInput[work_date],ROW()-1))</f>
        <v/>
      </c>
      <c r="F101" s="2">
        <f>IF($A101="","",INDEX(tblResourceInput[project_id],ROW()-1))</f>
        <v/>
      </c>
      <c r="G101" s="2">
        <f>IF($F101="","",XLOOKUP($F101,tblProjectMaster[project_id],tblProjectMaster[project_name],""))</f>
        <v/>
      </c>
      <c r="H101" s="2">
        <f>IF($A101="","",INDEX(tblResourceInput[task_name],ROW()-1))</f>
        <v/>
      </c>
      <c r="I101" s="2">
        <f>IF($A101="","",INDEX(tblResourceInput[planned_hours],ROW()-1))</f>
        <v/>
      </c>
      <c r="J101" s="2">
        <f>IF($B101="","",XLOOKUP($B101,tblEmployeeMaster[employee_id],tblEmployeeMaster[daily_capacity_hours],0))</f>
        <v/>
      </c>
      <c r="K101" s="2">
        <f>IF($B101="","",SUMIFS(tblResourceInput[planned_hours],tblResourceInput[employee_id],$B101,tblResourceInput[work_date],$E101))</f>
        <v/>
      </c>
      <c r="L101" s="5">
        <f>IFERROR($K101/$J101,0)</f>
        <v/>
      </c>
      <c r="M101" s="2">
        <f>IF($A101="","",IF($K101&gt;$J101,"OVER","OK"))</f>
        <v/>
      </c>
      <c r="N101" s="2">
        <f>IF($A101="","",MAX($J101-$K101,0))</f>
        <v/>
      </c>
      <c r="O101" s="5">
        <f>IF($F101="","",MAXIFS(tblProgressInput[progress_percent],tblProgressInput[project_id],$F101))</f>
        <v/>
      </c>
      <c r="P101" s="2">
        <f>IF($F101="","",XLOOKUP($F101,tblProgressInput[project_id],tblProgressInput[progress_status],"Not Started",0,-1))</f>
        <v/>
      </c>
      <c r="Q101" s="2">
        <f>IF($F101="","",XLOOKUP($F101,tblProgressInput[project_id],tblProgressInput[issue_flag],"",0,-1))</f>
        <v/>
      </c>
    </row>
    <row r="102">
      <c r="A102" s="2">
        <f>IFERROR(INDEX(tblResourceInput[entry_id],ROW()-1),"")</f>
        <v/>
      </c>
      <c r="B102" s="2">
        <f>IF($A102="","",INDEX(tblResourceInput[employee_id],ROW()-1))</f>
        <v/>
      </c>
      <c r="C102" s="2">
        <f>IF($B102="","",XLOOKUP($B102,tblEmployeeMaster[employee_id],tblEmployeeMaster[employee_name],""))</f>
        <v/>
      </c>
      <c r="D102" s="2">
        <f>IF($B102="","",XLOOKUP($B102,tblEmployeeMaster[employee_id],tblEmployeeMaster[department],""))</f>
        <v/>
      </c>
      <c r="E102" s="2">
        <f>IF($A102="","",INDEX(tblResourceInput[work_date],ROW()-1))</f>
        <v/>
      </c>
      <c r="F102" s="2">
        <f>IF($A102="","",INDEX(tblResourceInput[project_id],ROW()-1))</f>
        <v/>
      </c>
      <c r="G102" s="2">
        <f>IF($F102="","",XLOOKUP($F102,tblProjectMaster[project_id],tblProjectMaster[project_name],""))</f>
        <v/>
      </c>
      <c r="H102" s="2">
        <f>IF($A102="","",INDEX(tblResourceInput[task_name],ROW()-1))</f>
        <v/>
      </c>
      <c r="I102" s="2">
        <f>IF($A102="","",INDEX(tblResourceInput[planned_hours],ROW()-1))</f>
        <v/>
      </c>
      <c r="J102" s="2">
        <f>IF($B102="","",XLOOKUP($B102,tblEmployeeMaster[employee_id],tblEmployeeMaster[daily_capacity_hours],0))</f>
        <v/>
      </c>
      <c r="K102" s="2">
        <f>IF($B102="","",SUMIFS(tblResourceInput[planned_hours],tblResourceInput[employee_id],$B102,tblResourceInput[work_date],$E102))</f>
        <v/>
      </c>
      <c r="L102" s="5">
        <f>IFERROR($K102/$J102,0)</f>
        <v/>
      </c>
      <c r="M102" s="2">
        <f>IF($A102="","",IF($K102&gt;$J102,"OVER","OK"))</f>
        <v/>
      </c>
      <c r="N102" s="2">
        <f>IF($A102="","",MAX($J102-$K102,0))</f>
        <v/>
      </c>
      <c r="O102" s="5">
        <f>IF($F102="","",MAXIFS(tblProgressInput[progress_percent],tblProgressInput[project_id],$F102))</f>
        <v/>
      </c>
      <c r="P102" s="2">
        <f>IF($F102="","",XLOOKUP($F102,tblProgressInput[project_id],tblProgressInput[progress_status],"Not Started",0,-1))</f>
        <v/>
      </c>
      <c r="Q102" s="2">
        <f>IF($F102="","",XLOOKUP($F102,tblProgressInput[project_id],tblProgressInput[issue_flag],"",0,-1))</f>
        <v/>
      </c>
    </row>
    <row r="103">
      <c r="A103" s="2">
        <f>IFERROR(INDEX(tblResourceInput[entry_id],ROW()-1),"")</f>
        <v/>
      </c>
      <c r="B103" s="2">
        <f>IF($A103="","",INDEX(tblResourceInput[employee_id],ROW()-1))</f>
        <v/>
      </c>
      <c r="C103" s="2">
        <f>IF($B103="","",XLOOKUP($B103,tblEmployeeMaster[employee_id],tblEmployeeMaster[employee_name],""))</f>
        <v/>
      </c>
      <c r="D103" s="2">
        <f>IF($B103="","",XLOOKUP($B103,tblEmployeeMaster[employee_id],tblEmployeeMaster[department],""))</f>
        <v/>
      </c>
      <c r="E103" s="2">
        <f>IF($A103="","",INDEX(tblResourceInput[work_date],ROW()-1))</f>
        <v/>
      </c>
      <c r="F103" s="2">
        <f>IF($A103="","",INDEX(tblResourceInput[project_id],ROW()-1))</f>
        <v/>
      </c>
      <c r="G103" s="2">
        <f>IF($F103="","",XLOOKUP($F103,tblProjectMaster[project_id],tblProjectMaster[project_name],""))</f>
        <v/>
      </c>
      <c r="H103" s="2">
        <f>IF($A103="","",INDEX(tblResourceInput[task_name],ROW()-1))</f>
        <v/>
      </c>
      <c r="I103" s="2">
        <f>IF($A103="","",INDEX(tblResourceInput[planned_hours],ROW()-1))</f>
        <v/>
      </c>
      <c r="J103" s="2">
        <f>IF($B103="","",XLOOKUP($B103,tblEmployeeMaster[employee_id],tblEmployeeMaster[daily_capacity_hours],0))</f>
        <v/>
      </c>
      <c r="K103" s="2">
        <f>IF($B103="","",SUMIFS(tblResourceInput[planned_hours],tblResourceInput[employee_id],$B103,tblResourceInput[work_date],$E103))</f>
        <v/>
      </c>
      <c r="L103" s="5">
        <f>IFERROR($K103/$J103,0)</f>
        <v/>
      </c>
      <c r="M103" s="2">
        <f>IF($A103="","",IF($K103&gt;$J103,"OVER","OK"))</f>
        <v/>
      </c>
      <c r="N103" s="2">
        <f>IF($A103="","",MAX($J103-$K103,0))</f>
        <v/>
      </c>
      <c r="O103" s="5">
        <f>IF($F103="","",MAXIFS(tblProgressInput[progress_percent],tblProgressInput[project_id],$F103))</f>
        <v/>
      </c>
      <c r="P103" s="2">
        <f>IF($F103="","",XLOOKUP($F103,tblProgressInput[project_id],tblProgressInput[progress_status],"Not Started",0,-1))</f>
        <v/>
      </c>
      <c r="Q103" s="2">
        <f>IF($F103="","",XLOOKUP($F103,tblProgressInput[project_id],tblProgressInput[issue_flag],"",0,-1))</f>
        <v/>
      </c>
    </row>
    <row r="104">
      <c r="A104" s="2">
        <f>IFERROR(INDEX(tblResourceInput[entry_id],ROW()-1),"")</f>
        <v/>
      </c>
      <c r="B104" s="2">
        <f>IF($A104="","",INDEX(tblResourceInput[employee_id],ROW()-1))</f>
        <v/>
      </c>
      <c r="C104" s="2">
        <f>IF($B104="","",XLOOKUP($B104,tblEmployeeMaster[employee_id],tblEmployeeMaster[employee_name],""))</f>
        <v/>
      </c>
      <c r="D104" s="2">
        <f>IF($B104="","",XLOOKUP($B104,tblEmployeeMaster[employee_id],tblEmployeeMaster[department],""))</f>
        <v/>
      </c>
      <c r="E104" s="2">
        <f>IF($A104="","",INDEX(tblResourceInput[work_date],ROW()-1))</f>
        <v/>
      </c>
      <c r="F104" s="2">
        <f>IF($A104="","",INDEX(tblResourceInput[project_id],ROW()-1))</f>
        <v/>
      </c>
      <c r="G104" s="2">
        <f>IF($F104="","",XLOOKUP($F104,tblProjectMaster[project_id],tblProjectMaster[project_name],""))</f>
        <v/>
      </c>
      <c r="H104" s="2">
        <f>IF($A104="","",INDEX(tblResourceInput[task_name],ROW()-1))</f>
        <v/>
      </c>
      <c r="I104" s="2">
        <f>IF($A104="","",INDEX(tblResourceInput[planned_hours],ROW()-1))</f>
        <v/>
      </c>
      <c r="J104" s="2">
        <f>IF($B104="","",XLOOKUP($B104,tblEmployeeMaster[employee_id],tblEmployeeMaster[daily_capacity_hours],0))</f>
        <v/>
      </c>
      <c r="K104" s="2">
        <f>IF($B104="","",SUMIFS(tblResourceInput[planned_hours],tblResourceInput[employee_id],$B104,tblResourceInput[work_date],$E104))</f>
        <v/>
      </c>
      <c r="L104" s="5">
        <f>IFERROR($K104/$J104,0)</f>
        <v/>
      </c>
      <c r="M104" s="2">
        <f>IF($A104="","",IF($K104&gt;$J104,"OVER","OK"))</f>
        <v/>
      </c>
      <c r="N104" s="2">
        <f>IF($A104="","",MAX($J104-$K104,0))</f>
        <v/>
      </c>
      <c r="O104" s="5">
        <f>IF($F104="","",MAXIFS(tblProgressInput[progress_percent],tblProgressInput[project_id],$F104))</f>
        <v/>
      </c>
      <c r="P104" s="2">
        <f>IF($F104="","",XLOOKUP($F104,tblProgressInput[project_id],tblProgressInput[progress_status],"Not Started",0,-1))</f>
        <v/>
      </c>
      <c r="Q104" s="2">
        <f>IF($F104="","",XLOOKUP($F104,tblProgressInput[project_id],tblProgressInput[issue_flag],"",0,-1))</f>
        <v/>
      </c>
    </row>
    <row r="105">
      <c r="A105" s="2">
        <f>IFERROR(INDEX(tblResourceInput[entry_id],ROW()-1),"")</f>
        <v/>
      </c>
      <c r="B105" s="2">
        <f>IF($A105="","",INDEX(tblResourceInput[employee_id],ROW()-1))</f>
        <v/>
      </c>
      <c r="C105" s="2">
        <f>IF($B105="","",XLOOKUP($B105,tblEmployeeMaster[employee_id],tblEmployeeMaster[employee_name],""))</f>
        <v/>
      </c>
      <c r="D105" s="2">
        <f>IF($B105="","",XLOOKUP($B105,tblEmployeeMaster[employee_id],tblEmployeeMaster[department],""))</f>
        <v/>
      </c>
      <c r="E105" s="2">
        <f>IF($A105="","",INDEX(tblResourceInput[work_date],ROW()-1))</f>
        <v/>
      </c>
      <c r="F105" s="2">
        <f>IF($A105="","",INDEX(tblResourceInput[project_id],ROW()-1))</f>
        <v/>
      </c>
      <c r="G105" s="2">
        <f>IF($F105="","",XLOOKUP($F105,tblProjectMaster[project_id],tblProjectMaster[project_name],""))</f>
        <v/>
      </c>
      <c r="H105" s="2">
        <f>IF($A105="","",INDEX(tblResourceInput[task_name],ROW()-1))</f>
        <v/>
      </c>
      <c r="I105" s="2">
        <f>IF($A105="","",INDEX(tblResourceInput[planned_hours],ROW()-1))</f>
        <v/>
      </c>
      <c r="J105" s="2">
        <f>IF($B105="","",XLOOKUP($B105,tblEmployeeMaster[employee_id],tblEmployeeMaster[daily_capacity_hours],0))</f>
        <v/>
      </c>
      <c r="K105" s="2">
        <f>IF($B105="","",SUMIFS(tblResourceInput[planned_hours],tblResourceInput[employee_id],$B105,tblResourceInput[work_date],$E105))</f>
        <v/>
      </c>
      <c r="L105" s="5">
        <f>IFERROR($K105/$J105,0)</f>
        <v/>
      </c>
      <c r="M105" s="2">
        <f>IF($A105="","",IF($K105&gt;$J105,"OVER","OK"))</f>
        <v/>
      </c>
      <c r="N105" s="2">
        <f>IF($A105="","",MAX($J105-$K105,0))</f>
        <v/>
      </c>
      <c r="O105" s="5">
        <f>IF($F105="","",MAXIFS(tblProgressInput[progress_percent],tblProgressInput[project_id],$F105))</f>
        <v/>
      </c>
      <c r="P105" s="2">
        <f>IF($F105="","",XLOOKUP($F105,tblProgressInput[project_id],tblProgressInput[progress_status],"Not Started",0,-1))</f>
        <v/>
      </c>
      <c r="Q105" s="2">
        <f>IF($F105="","",XLOOKUP($F105,tblProgressInput[project_id],tblProgressInput[issue_flag],"",0,-1))</f>
        <v/>
      </c>
    </row>
    <row r="106">
      <c r="A106" s="2">
        <f>IFERROR(INDEX(tblResourceInput[entry_id],ROW()-1),"")</f>
        <v/>
      </c>
      <c r="B106" s="2">
        <f>IF($A106="","",INDEX(tblResourceInput[employee_id],ROW()-1))</f>
        <v/>
      </c>
      <c r="C106" s="2">
        <f>IF($B106="","",XLOOKUP($B106,tblEmployeeMaster[employee_id],tblEmployeeMaster[employee_name],""))</f>
        <v/>
      </c>
      <c r="D106" s="2">
        <f>IF($B106="","",XLOOKUP($B106,tblEmployeeMaster[employee_id],tblEmployeeMaster[department],""))</f>
        <v/>
      </c>
      <c r="E106" s="2">
        <f>IF($A106="","",INDEX(tblResourceInput[work_date],ROW()-1))</f>
        <v/>
      </c>
      <c r="F106" s="2">
        <f>IF($A106="","",INDEX(tblResourceInput[project_id],ROW()-1))</f>
        <v/>
      </c>
      <c r="G106" s="2">
        <f>IF($F106="","",XLOOKUP($F106,tblProjectMaster[project_id],tblProjectMaster[project_name],""))</f>
        <v/>
      </c>
      <c r="H106" s="2">
        <f>IF($A106="","",INDEX(tblResourceInput[task_name],ROW()-1))</f>
        <v/>
      </c>
      <c r="I106" s="2">
        <f>IF($A106="","",INDEX(tblResourceInput[planned_hours],ROW()-1))</f>
        <v/>
      </c>
      <c r="J106" s="2">
        <f>IF($B106="","",XLOOKUP($B106,tblEmployeeMaster[employee_id],tblEmployeeMaster[daily_capacity_hours],0))</f>
        <v/>
      </c>
      <c r="K106" s="2">
        <f>IF($B106="","",SUMIFS(tblResourceInput[planned_hours],tblResourceInput[employee_id],$B106,tblResourceInput[work_date],$E106))</f>
        <v/>
      </c>
      <c r="L106" s="5">
        <f>IFERROR($K106/$J106,0)</f>
        <v/>
      </c>
      <c r="M106" s="2">
        <f>IF($A106="","",IF($K106&gt;$J106,"OVER","OK"))</f>
        <v/>
      </c>
      <c r="N106" s="2">
        <f>IF($A106="","",MAX($J106-$K106,0))</f>
        <v/>
      </c>
      <c r="O106" s="5">
        <f>IF($F106="","",MAXIFS(tblProgressInput[progress_percent],tblProgressInput[project_id],$F106))</f>
        <v/>
      </c>
      <c r="P106" s="2">
        <f>IF($F106="","",XLOOKUP($F106,tblProgressInput[project_id],tblProgressInput[progress_status],"Not Started",0,-1))</f>
        <v/>
      </c>
      <c r="Q106" s="2">
        <f>IF($F106="","",XLOOKUP($F106,tblProgressInput[project_id],tblProgressInput[issue_flag],"",0,-1))</f>
        <v/>
      </c>
    </row>
    <row r="107">
      <c r="A107" s="2">
        <f>IFERROR(INDEX(tblResourceInput[entry_id],ROW()-1),"")</f>
        <v/>
      </c>
      <c r="B107" s="2">
        <f>IF($A107="","",INDEX(tblResourceInput[employee_id],ROW()-1))</f>
        <v/>
      </c>
      <c r="C107" s="2">
        <f>IF($B107="","",XLOOKUP($B107,tblEmployeeMaster[employee_id],tblEmployeeMaster[employee_name],""))</f>
        <v/>
      </c>
      <c r="D107" s="2">
        <f>IF($B107="","",XLOOKUP($B107,tblEmployeeMaster[employee_id],tblEmployeeMaster[department],""))</f>
        <v/>
      </c>
      <c r="E107" s="2">
        <f>IF($A107="","",INDEX(tblResourceInput[work_date],ROW()-1))</f>
        <v/>
      </c>
      <c r="F107" s="2">
        <f>IF($A107="","",INDEX(tblResourceInput[project_id],ROW()-1))</f>
        <v/>
      </c>
      <c r="G107" s="2">
        <f>IF($F107="","",XLOOKUP($F107,tblProjectMaster[project_id],tblProjectMaster[project_name],""))</f>
        <v/>
      </c>
      <c r="H107" s="2">
        <f>IF($A107="","",INDEX(tblResourceInput[task_name],ROW()-1))</f>
        <v/>
      </c>
      <c r="I107" s="2">
        <f>IF($A107="","",INDEX(tblResourceInput[planned_hours],ROW()-1))</f>
        <v/>
      </c>
      <c r="J107" s="2">
        <f>IF($B107="","",XLOOKUP($B107,tblEmployeeMaster[employee_id],tblEmployeeMaster[daily_capacity_hours],0))</f>
        <v/>
      </c>
      <c r="K107" s="2">
        <f>IF($B107="","",SUMIFS(tblResourceInput[planned_hours],tblResourceInput[employee_id],$B107,tblResourceInput[work_date],$E107))</f>
        <v/>
      </c>
      <c r="L107" s="5">
        <f>IFERROR($K107/$J107,0)</f>
        <v/>
      </c>
      <c r="M107" s="2">
        <f>IF($A107="","",IF($K107&gt;$J107,"OVER","OK"))</f>
        <v/>
      </c>
      <c r="N107" s="2">
        <f>IF($A107="","",MAX($J107-$K107,0))</f>
        <v/>
      </c>
      <c r="O107" s="5">
        <f>IF($F107="","",MAXIFS(tblProgressInput[progress_percent],tblProgressInput[project_id],$F107))</f>
        <v/>
      </c>
      <c r="P107" s="2">
        <f>IF($F107="","",XLOOKUP($F107,tblProgressInput[project_id],tblProgressInput[progress_status],"Not Started",0,-1))</f>
        <v/>
      </c>
      <c r="Q107" s="2">
        <f>IF($F107="","",XLOOKUP($F107,tblProgressInput[project_id],tblProgressInput[issue_flag],"",0,-1))</f>
        <v/>
      </c>
    </row>
    <row r="108">
      <c r="A108" s="2">
        <f>IFERROR(INDEX(tblResourceInput[entry_id],ROW()-1),"")</f>
        <v/>
      </c>
      <c r="B108" s="2">
        <f>IF($A108="","",INDEX(tblResourceInput[employee_id],ROW()-1))</f>
        <v/>
      </c>
      <c r="C108" s="2">
        <f>IF($B108="","",XLOOKUP($B108,tblEmployeeMaster[employee_id],tblEmployeeMaster[employee_name],""))</f>
        <v/>
      </c>
      <c r="D108" s="2">
        <f>IF($B108="","",XLOOKUP($B108,tblEmployeeMaster[employee_id],tblEmployeeMaster[department],""))</f>
        <v/>
      </c>
      <c r="E108" s="2">
        <f>IF($A108="","",INDEX(tblResourceInput[work_date],ROW()-1))</f>
        <v/>
      </c>
      <c r="F108" s="2">
        <f>IF($A108="","",INDEX(tblResourceInput[project_id],ROW()-1))</f>
        <v/>
      </c>
      <c r="G108" s="2">
        <f>IF($F108="","",XLOOKUP($F108,tblProjectMaster[project_id],tblProjectMaster[project_name],""))</f>
        <v/>
      </c>
      <c r="H108" s="2">
        <f>IF($A108="","",INDEX(tblResourceInput[task_name],ROW()-1))</f>
        <v/>
      </c>
      <c r="I108" s="2">
        <f>IF($A108="","",INDEX(tblResourceInput[planned_hours],ROW()-1))</f>
        <v/>
      </c>
      <c r="J108" s="2">
        <f>IF($B108="","",XLOOKUP($B108,tblEmployeeMaster[employee_id],tblEmployeeMaster[daily_capacity_hours],0))</f>
        <v/>
      </c>
      <c r="K108" s="2">
        <f>IF($B108="","",SUMIFS(tblResourceInput[planned_hours],tblResourceInput[employee_id],$B108,tblResourceInput[work_date],$E108))</f>
        <v/>
      </c>
      <c r="L108" s="5">
        <f>IFERROR($K108/$J108,0)</f>
        <v/>
      </c>
      <c r="M108" s="2">
        <f>IF($A108="","",IF($K108&gt;$J108,"OVER","OK"))</f>
        <v/>
      </c>
      <c r="N108" s="2">
        <f>IF($A108="","",MAX($J108-$K108,0))</f>
        <v/>
      </c>
      <c r="O108" s="5">
        <f>IF($F108="","",MAXIFS(tblProgressInput[progress_percent],tblProgressInput[project_id],$F108))</f>
        <v/>
      </c>
      <c r="P108" s="2">
        <f>IF($F108="","",XLOOKUP($F108,tblProgressInput[project_id],tblProgressInput[progress_status],"Not Started",0,-1))</f>
        <v/>
      </c>
      <c r="Q108" s="2">
        <f>IF($F108="","",XLOOKUP($F108,tblProgressInput[project_id],tblProgressInput[issue_flag],"",0,-1))</f>
        <v/>
      </c>
    </row>
    <row r="109">
      <c r="A109" s="2">
        <f>IFERROR(INDEX(tblResourceInput[entry_id],ROW()-1),"")</f>
        <v/>
      </c>
      <c r="B109" s="2">
        <f>IF($A109="","",INDEX(tblResourceInput[employee_id],ROW()-1))</f>
        <v/>
      </c>
      <c r="C109" s="2">
        <f>IF($B109="","",XLOOKUP($B109,tblEmployeeMaster[employee_id],tblEmployeeMaster[employee_name],""))</f>
        <v/>
      </c>
      <c r="D109" s="2">
        <f>IF($B109="","",XLOOKUP($B109,tblEmployeeMaster[employee_id],tblEmployeeMaster[department],""))</f>
        <v/>
      </c>
      <c r="E109" s="2">
        <f>IF($A109="","",INDEX(tblResourceInput[work_date],ROW()-1))</f>
        <v/>
      </c>
      <c r="F109" s="2">
        <f>IF($A109="","",INDEX(tblResourceInput[project_id],ROW()-1))</f>
        <v/>
      </c>
      <c r="G109" s="2">
        <f>IF($F109="","",XLOOKUP($F109,tblProjectMaster[project_id],tblProjectMaster[project_name],""))</f>
        <v/>
      </c>
      <c r="H109" s="2">
        <f>IF($A109="","",INDEX(tblResourceInput[task_name],ROW()-1))</f>
        <v/>
      </c>
      <c r="I109" s="2">
        <f>IF($A109="","",INDEX(tblResourceInput[planned_hours],ROW()-1))</f>
        <v/>
      </c>
      <c r="J109" s="2">
        <f>IF($B109="","",XLOOKUP($B109,tblEmployeeMaster[employee_id],tblEmployeeMaster[daily_capacity_hours],0))</f>
        <v/>
      </c>
      <c r="K109" s="2">
        <f>IF($B109="","",SUMIFS(tblResourceInput[planned_hours],tblResourceInput[employee_id],$B109,tblResourceInput[work_date],$E109))</f>
        <v/>
      </c>
      <c r="L109" s="5">
        <f>IFERROR($K109/$J109,0)</f>
        <v/>
      </c>
      <c r="M109" s="2">
        <f>IF($A109="","",IF($K109&gt;$J109,"OVER","OK"))</f>
        <v/>
      </c>
      <c r="N109" s="2">
        <f>IF($A109="","",MAX($J109-$K109,0))</f>
        <v/>
      </c>
      <c r="O109" s="5">
        <f>IF($F109="","",MAXIFS(tblProgressInput[progress_percent],tblProgressInput[project_id],$F109))</f>
        <v/>
      </c>
      <c r="P109" s="2">
        <f>IF($F109="","",XLOOKUP($F109,tblProgressInput[project_id],tblProgressInput[progress_status],"Not Started",0,-1))</f>
        <v/>
      </c>
      <c r="Q109" s="2">
        <f>IF($F109="","",XLOOKUP($F109,tblProgressInput[project_id],tblProgressInput[issue_flag],"",0,-1))</f>
        <v/>
      </c>
    </row>
    <row r="110">
      <c r="A110" s="2">
        <f>IFERROR(INDEX(tblResourceInput[entry_id],ROW()-1),"")</f>
        <v/>
      </c>
      <c r="B110" s="2">
        <f>IF($A110="","",INDEX(tblResourceInput[employee_id],ROW()-1))</f>
        <v/>
      </c>
      <c r="C110" s="2">
        <f>IF($B110="","",XLOOKUP($B110,tblEmployeeMaster[employee_id],tblEmployeeMaster[employee_name],""))</f>
        <v/>
      </c>
      <c r="D110" s="2">
        <f>IF($B110="","",XLOOKUP($B110,tblEmployeeMaster[employee_id],tblEmployeeMaster[department],""))</f>
        <v/>
      </c>
      <c r="E110" s="2">
        <f>IF($A110="","",INDEX(tblResourceInput[work_date],ROW()-1))</f>
        <v/>
      </c>
      <c r="F110" s="2">
        <f>IF($A110="","",INDEX(tblResourceInput[project_id],ROW()-1))</f>
        <v/>
      </c>
      <c r="G110" s="2">
        <f>IF($F110="","",XLOOKUP($F110,tblProjectMaster[project_id],tblProjectMaster[project_name],""))</f>
        <v/>
      </c>
      <c r="H110" s="2">
        <f>IF($A110="","",INDEX(tblResourceInput[task_name],ROW()-1))</f>
        <v/>
      </c>
      <c r="I110" s="2">
        <f>IF($A110="","",INDEX(tblResourceInput[planned_hours],ROW()-1))</f>
        <v/>
      </c>
      <c r="J110" s="2">
        <f>IF($B110="","",XLOOKUP($B110,tblEmployeeMaster[employee_id],tblEmployeeMaster[daily_capacity_hours],0))</f>
        <v/>
      </c>
      <c r="K110" s="2">
        <f>IF($B110="","",SUMIFS(tblResourceInput[planned_hours],tblResourceInput[employee_id],$B110,tblResourceInput[work_date],$E110))</f>
        <v/>
      </c>
      <c r="L110" s="5">
        <f>IFERROR($K110/$J110,0)</f>
        <v/>
      </c>
      <c r="M110" s="2">
        <f>IF($A110="","",IF($K110&gt;$J110,"OVER","OK"))</f>
        <v/>
      </c>
      <c r="N110" s="2">
        <f>IF($A110="","",MAX($J110-$K110,0))</f>
        <v/>
      </c>
      <c r="O110" s="5">
        <f>IF($F110="","",MAXIFS(tblProgressInput[progress_percent],tblProgressInput[project_id],$F110))</f>
        <v/>
      </c>
      <c r="P110" s="2">
        <f>IF($F110="","",XLOOKUP($F110,tblProgressInput[project_id],tblProgressInput[progress_status],"Not Started",0,-1))</f>
        <v/>
      </c>
      <c r="Q110" s="2">
        <f>IF($F110="","",XLOOKUP($F110,tblProgressInput[project_id],tblProgressInput[issue_flag],"",0,-1))</f>
        <v/>
      </c>
    </row>
    <row r="111">
      <c r="A111" s="2">
        <f>IFERROR(INDEX(tblResourceInput[entry_id],ROW()-1),"")</f>
        <v/>
      </c>
      <c r="B111" s="2">
        <f>IF($A111="","",INDEX(tblResourceInput[employee_id],ROW()-1))</f>
        <v/>
      </c>
      <c r="C111" s="2">
        <f>IF($B111="","",XLOOKUP($B111,tblEmployeeMaster[employee_id],tblEmployeeMaster[employee_name],""))</f>
        <v/>
      </c>
      <c r="D111" s="2">
        <f>IF($B111="","",XLOOKUP($B111,tblEmployeeMaster[employee_id],tblEmployeeMaster[department],""))</f>
        <v/>
      </c>
      <c r="E111" s="2">
        <f>IF($A111="","",INDEX(tblResourceInput[work_date],ROW()-1))</f>
        <v/>
      </c>
      <c r="F111" s="2">
        <f>IF($A111="","",INDEX(tblResourceInput[project_id],ROW()-1))</f>
        <v/>
      </c>
      <c r="G111" s="2">
        <f>IF($F111="","",XLOOKUP($F111,tblProjectMaster[project_id],tblProjectMaster[project_name],""))</f>
        <v/>
      </c>
      <c r="H111" s="2">
        <f>IF($A111="","",INDEX(tblResourceInput[task_name],ROW()-1))</f>
        <v/>
      </c>
      <c r="I111" s="2">
        <f>IF($A111="","",INDEX(tblResourceInput[planned_hours],ROW()-1))</f>
        <v/>
      </c>
      <c r="J111" s="2">
        <f>IF($B111="","",XLOOKUP($B111,tblEmployeeMaster[employee_id],tblEmployeeMaster[daily_capacity_hours],0))</f>
        <v/>
      </c>
      <c r="K111" s="2">
        <f>IF($B111="","",SUMIFS(tblResourceInput[planned_hours],tblResourceInput[employee_id],$B111,tblResourceInput[work_date],$E111))</f>
        <v/>
      </c>
      <c r="L111" s="5">
        <f>IFERROR($K111/$J111,0)</f>
        <v/>
      </c>
      <c r="M111" s="2">
        <f>IF($A111="","",IF($K111&gt;$J111,"OVER","OK"))</f>
        <v/>
      </c>
      <c r="N111" s="2">
        <f>IF($A111="","",MAX($J111-$K111,0))</f>
        <v/>
      </c>
      <c r="O111" s="5">
        <f>IF($F111="","",MAXIFS(tblProgressInput[progress_percent],tblProgressInput[project_id],$F111))</f>
        <v/>
      </c>
      <c r="P111" s="2">
        <f>IF($F111="","",XLOOKUP($F111,tblProgressInput[project_id],tblProgressInput[progress_status],"Not Started",0,-1))</f>
        <v/>
      </c>
      <c r="Q111" s="2">
        <f>IF($F111="","",XLOOKUP($F111,tblProgressInput[project_id],tblProgressInput[issue_flag],"",0,-1))</f>
        <v/>
      </c>
    </row>
    <row r="112">
      <c r="A112" s="2">
        <f>IFERROR(INDEX(tblResourceInput[entry_id],ROW()-1),"")</f>
        <v/>
      </c>
      <c r="B112" s="2">
        <f>IF($A112="","",INDEX(tblResourceInput[employee_id],ROW()-1))</f>
        <v/>
      </c>
      <c r="C112" s="2">
        <f>IF($B112="","",XLOOKUP($B112,tblEmployeeMaster[employee_id],tblEmployeeMaster[employee_name],""))</f>
        <v/>
      </c>
      <c r="D112" s="2">
        <f>IF($B112="","",XLOOKUP($B112,tblEmployeeMaster[employee_id],tblEmployeeMaster[department],""))</f>
        <v/>
      </c>
      <c r="E112" s="2">
        <f>IF($A112="","",INDEX(tblResourceInput[work_date],ROW()-1))</f>
        <v/>
      </c>
      <c r="F112" s="2">
        <f>IF($A112="","",INDEX(tblResourceInput[project_id],ROW()-1))</f>
        <v/>
      </c>
      <c r="G112" s="2">
        <f>IF($F112="","",XLOOKUP($F112,tblProjectMaster[project_id],tblProjectMaster[project_name],""))</f>
        <v/>
      </c>
      <c r="H112" s="2">
        <f>IF($A112="","",INDEX(tblResourceInput[task_name],ROW()-1))</f>
        <v/>
      </c>
      <c r="I112" s="2">
        <f>IF($A112="","",INDEX(tblResourceInput[planned_hours],ROW()-1))</f>
        <v/>
      </c>
      <c r="J112" s="2">
        <f>IF($B112="","",XLOOKUP($B112,tblEmployeeMaster[employee_id],tblEmployeeMaster[daily_capacity_hours],0))</f>
        <v/>
      </c>
      <c r="K112" s="2">
        <f>IF($B112="","",SUMIFS(tblResourceInput[planned_hours],tblResourceInput[employee_id],$B112,tblResourceInput[work_date],$E112))</f>
        <v/>
      </c>
      <c r="L112" s="5">
        <f>IFERROR($K112/$J112,0)</f>
        <v/>
      </c>
      <c r="M112" s="2">
        <f>IF($A112="","",IF($K112&gt;$J112,"OVER","OK"))</f>
        <v/>
      </c>
      <c r="N112" s="2">
        <f>IF($A112="","",MAX($J112-$K112,0))</f>
        <v/>
      </c>
      <c r="O112" s="5">
        <f>IF($F112="","",MAXIFS(tblProgressInput[progress_percent],tblProgressInput[project_id],$F112))</f>
        <v/>
      </c>
      <c r="P112" s="2">
        <f>IF($F112="","",XLOOKUP($F112,tblProgressInput[project_id],tblProgressInput[progress_status],"Not Started",0,-1))</f>
        <v/>
      </c>
      <c r="Q112" s="2">
        <f>IF($F112="","",XLOOKUP($F112,tblProgressInput[project_id],tblProgressInput[issue_flag],"",0,-1))</f>
        <v/>
      </c>
    </row>
    <row r="113">
      <c r="A113" s="2">
        <f>IFERROR(INDEX(tblResourceInput[entry_id],ROW()-1),"")</f>
        <v/>
      </c>
      <c r="B113" s="2">
        <f>IF($A113="","",INDEX(tblResourceInput[employee_id],ROW()-1))</f>
        <v/>
      </c>
      <c r="C113" s="2">
        <f>IF($B113="","",XLOOKUP($B113,tblEmployeeMaster[employee_id],tblEmployeeMaster[employee_name],""))</f>
        <v/>
      </c>
      <c r="D113" s="2">
        <f>IF($B113="","",XLOOKUP($B113,tblEmployeeMaster[employee_id],tblEmployeeMaster[department],""))</f>
        <v/>
      </c>
      <c r="E113" s="2">
        <f>IF($A113="","",INDEX(tblResourceInput[work_date],ROW()-1))</f>
        <v/>
      </c>
      <c r="F113" s="2">
        <f>IF($A113="","",INDEX(tblResourceInput[project_id],ROW()-1))</f>
        <v/>
      </c>
      <c r="G113" s="2">
        <f>IF($F113="","",XLOOKUP($F113,tblProjectMaster[project_id],tblProjectMaster[project_name],""))</f>
        <v/>
      </c>
      <c r="H113" s="2">
        <f>IF($A113="","",INDEX(tblResourceInput[task_name],ROW()-1))</f>
        <v/>
      </c>
      <c r="I113" s="2">
        <f>IF($A113="","",INDEX(tblResourceInput[planned_hours],ROW()-1))</f>
        <v/>
      </c>
      <c r="J113" s="2">
        <f>IF($B113="","",XLOOKUP($B113,tblEmployeeMaster[employee_id],tblEmployeeMaster[daily_capacity_hours],0))</f>
        <v/>
      </c>
      <c r="K113" s="2">
        <f>IF($B113="","",SUMIFS(tblResourceInput[planned_hours],tblResourceInput[employee_id],$B113,tblResourceInput[work_date],$E113))</f>
        <v/>
      </c>
      <c r="L113" s="5">
        <f>IFERROR($K113/$J113,0)</f>
        <v/>
      </c>
      <c r="M113" s="2">
        <f>IF($A113="","",IF($K113&gt;$J113,"OVER","OK"))</f>
        <v/>
      </c>
      <c r="N113" s="2">
        <f>IF($A113="","",MAX($J113-$K113,0))</f>
        <v/>
      </c>
      <c r="O113" s="5">
        <f>IF($F113="","",MAXIFS(tblProgressInput[progress_percent],tblProgressInput[project_id],$F113))</f>
        <v/>
      </c>
      <c r="P113" s="2">
        <f>IF($F113="","",XLOOKUP($F113,tblProgressInput[project_id],tblProgressInput[progress_status],"Not Started",0,-1))</f>
        <v/>
      </c>
      <c r="Q113" s="2">
        <f>IF($F113="","",XLOOKUP($F113,tblProgressInput[project_id],tblProgressInput[issue_flag],"",0,-1))</f>
        <v/>
      </c>
    </row>
    <row r="114">
      <c r="A114" s="2">
        <f>IFERROR(INDEX(tblResourceInput[entry_id],ROW()-1),"")</f>
        <v/>
      </c>
      <c r="B114" s="2">
        <f>IF($A114="","",INDEX(tblResourceInput[employee_id],ROW()-1))</f>
        <v/>
      </c>
      <c r="C114" s="2">
        <f>IF($B114="","",XLOOKUP($B114,tblEmployeeMaster[employee_id],tblEmployeeMaster[employee_name],""))</f>
        <v/>
      </c>
      <c r="D114" s="2">
        <f>IF($B114="","",XLOOKUP($B114,tblEmployeeMaster[employee_id],tblEmployeeMaster[department],""))</f>
        <v/>
      </c>
      <c r="E114" s="2">
        <f>IF($A114="","",INDEX(tblResourceInput[work_date],ROW()-1))</f>
        <v/>
      </c>
      <c r="F114" s="2">
        <f>IF($A114="","",INDEX(tblResourceInput[project_id],ROW()-1))</f>
        <v/>
      </c>
      <c r="G114" s="2">
        <f>IF($F114="","",XLOOKUP($F114,tblProjectMaster[project_id],tblProjectMaster[project_name],""))</f>
        <v/>
      </c>
      <c r="H114" s="2">
        <f>IF($A114="","",INDEX(tblResourceInput[task_name],ROW()-1))</f>
        <v/>
      </c>
      <c r="I114" s="2">
        <f>IF($A114="","",INDEX(tblResourceInput[planned_hours],ROW()-1))</f>
        <v/>
      </c>
      <c r="J114" s="2">
        <f>IF($B114="","",XLOOKUP($B114,tblEmployeeMaster[employee_id],tblEmployeeMaster[daily_capacity_hours],0))</f>
        <v/>
      </c>
      <c r="K114" s="2">
        <f>IF($B114="","",SUMIFS(tblResourceInput[planned_hours],tblResourceInput[employee_id],$B114,tblResourceInput[work_date],$E114))</f>
        <v/>
      </c>
      <c r="L114" s="5">
        <f>IFERROR($K114/$J114,0)</f>
        <v/>
      </c>
      <c r="M114" s="2">
        <f>IF($A114="","",IF($K114&gt;$J114,"OVER","OK"))</f>
        <v/>
      </c>
      <c r="N114" s="2">
        <f>IF($A114="","",MAX($J114-$K114,0))</f>
        <v/>
      </c>
      <c r="O114" s="5">
        <f>IF($F114="","",MAXIFS(tblProgressInput[progress_percent],tblProgressInput[project_id],$F114))</f>
        <v/>
      </c>
      <c r="P114" s="2">
        <f>IF($F114="","",XLOOKUP($F114,tblProgressInput[project_id],tblProgressInput[progress_status],"Not Started",0,-1))</f>
        <v/>
      </c>
      <c r="Q114" s="2">
        <f>IF($F114="","",XLOOKUP($F114,tblProgressInput[project_id],tblProgressInput[issue_flag],"",0,-1))</f>
        <v/>
      </c>
    </row>
    <row r="115">
      <c r="A115" s="2">
        <f>IFERROR(INDEX(tblResourceInput[entry_id],ROW()-1),"")</f>
        <v/>
      </c>
      <c r="B115" s="2">
        <f>IF($A115="","",INDEX(tblResourceInput[employee_id],ROW()-1))</f>
        <v/>
      </c>
      <c r="C115" s="2">
        <f>IF($B115="","",XLOOKUP($B115,tblEmployeeMaster[employee_id],tblEmployeeMaster[employee_name],""))</f>
        <v/>
      </c>
      <c r="D115" s="2">
        <f>IF($B115="","",XLOOKUP($B115,tblEmployeeMaster[employee_id],tblEmployeeMaster[department],""))</f>
        <v/>
      </c>
      <c r="E115" s="2">
        <f>IF($A115="","",INDEX(tblResourceInput[work_date],ROW()-1))</f>
        <v/>
      </c>
      <c r="F115" s="2">
        <f>IF($A115="","",INDEX(tblResourceInput[project_id],ROW()-1))</f>
        <v/>
      </c>
      <c r="G115" s="2">
        <f>IF($F115="","",XLOOKUP($F115,tblProjectMaster[project_id],tblProjectMaster[project_name],""))</f>
        <v/>
      </c>
      <c r="H115" s="2">
        <f>IF($A115="","",INDEX(tblResourceInput[task_name],ROW()-1))</f>
        <v/>
      </c>
      <c r="I115" s="2">
        <f>IF($A115="","",INDEX(tblResourceInput[planned_hours],ROW()-1))</f>
        <v/>
      </c>
      <c r="J115" s="2">
        <f>IF($B115="","",XLOOKUP($B115,tblEmployeeMaster[employee_id],tblEmployeeMaster[daily_capacity_hours],0))</f>
        <v/>
      </c>
      <c r="K115" s="2">
        <f>IF($B115="","",SUMIFS(tblResourceInput[planned_hours],tblResourceInput[employee_id],$B115,tblResourceInput[work_date],$E115))</f>
        <v/>
      </c>
      <c r="L115" s="5">
        <f>IFERROR($K115/$J115,0)</f>
        <v/>
      </c>
      <c r="M115" s="2">
        <f>IF($A115="","",IF($K115&gt;$J115,"OVER","OK"))</f>
        <v/>
      </c>
      <c r="N115" s="2">
        <f>IF($A115="","",MAX($J115-$K115,0))</f>
        <v/>
      </c>
      <c r="O115" s="5">
        <f>IF($F115="","",MAXIFS(tblProgressInput[progress_percent],tblProgressInput[project_id],$F115))</f>
        <v/>
      </c>
      <c r="P115" s="2">
        <f>IF($F115="","",XLOOKUP($F115,tblProgressInput[project_id],tblProgressInput[progress_status],"Not Started",0,-1))</f>
        <v/>
      </c>
      <c r="Q115" s="2">
        <f>IF($F115="","",XLOOKUP($F115,tblProgressInput[project_id],tblProgressInput[issue_flag],"",0,-1))</f>
        <v/>
      </c>
    </row>
    <row r="116">
      <c r="A116" s="2">
        <f>IFERROR(INDEX(tblResourceInput[entry_id],ROW()-1),"")</f>
        <v/>
      </c>
      <c r="B116" s="2">
        <f>IF($A116="","",INDEX(tblResourceInput[employee_id],ROW()-1))</f>
        <v/>
      </c>
      <c r="C116" s="2">
        <f>IF($B116="","",XLOOKUP($B116,tblEmployeeMaster[employee_id],tblEmployeeMaster[employee_name],""))</f>
        <v/>
      </c>
      <c r="D116" s="2">
        <f>IF($B116="","",XLOOKUP($B116,tblEmployeeMaster[employee_id],tblEmployeeMaster[department],""))</f>
        <v/>
      </c>
      <c r="E116" s="2">
        <f>IF($A116="","",INDEX(tblResourceInput[work_date],ROW()-1))</f>
        <v/>
      </c>
      <c r="F116" s="2">
        <f>IF($A116="","",INDEX(tblResourceInput[project_id],ROW()-1))</f>
        <v/>
      </c>
      <c r="G116" s="2">
        <f>IF($F116="","",XLOOKUP($F116,tblProjectMaster[project_id],tblProjectMaster[project_name],""))</f>
        <v/>
      </c>
      <c r="H116" s="2">
        <f>IF($A116="","",INDEX(tblResourceInput[task_name],ROW()-1))</f>
        <v/>
      </c>
      <c r="I116" s="2">
        <f>IF($A116="","",INDEX(tblResourceInput[planned_hours],ROW()-1))</f>
        <v/>
      </c>
      <c r="J116" s="2">
        <f>IF($B116="","",XLOOKUP($B116,tblEmployeeMaster[employee_id],tblEmployeeMaster[daily_capacity_hours],0))</f>
        <v/>
      </c>
      <c r="K116" s="2">
        <f>IF($B116="","",SUMIFS(tblResourceInput[planned_hours],tblResourceInput[employee_id],$B116,tblResourceInput[work_date],$E116))</f>
        <v/>
      </c>
      <c r="L116" s="5">
        <f>IFERROR($K116/$J116,0)</f>
        <v/>
      </c>
      <c r="M116" s="2">
        <f>IF($A116="","",IF($K116&gt;$J116,"OVER","OK"))</f>
        <v/>
      </c>
      <c r="N116" s="2">
        <f>IF($A116="","",MAX($J116-$K116,0))</f>
        <v/>
      </c>
      <c r="O116" s="5">
        <f>IF($F116="","",MAXIFS(tblProgressInput[progress_percent],tblProgressInput[project_id],$F116))</f>
        <v/>
      </c>
      <c r="P116" s="2">
        <f>IF($F116="","",XLOOKUP($F116,tblProgressInput[project_id],tblProgressInput[progress_status],"Not Started",0,-1))</f>
        <v/>
      </c>
      <c r="Q116" s="2">
        <f>IF($F116="","",XLOOKUP($F116,tblProgressInput[project_id],tblProgressInput[issue_flag],"",0,-1))</f>
        <v/>
      </c>
    </row>
    <row r="117">
      <c r="A117" s="2">
        <f>IFERROR(INDEX(tblResourceInput[entry_id],ROW()-1),"")</f>
        <v/>
      </c>
      <c r="B117" s="2">
        <f>IF($A117="","",INDEX(tblResourceInput[employee_id],ROW()-1))</f>
        <v/>
      </c>
      <c r="C117" s="2">
        <f>IF($B117="","",XLOOKUP($B117,tblEmployeeMaster[employee_id],tblEmployeeMaster[employee_name],""))</f>
        <v/>
      </c>
      <c r="D117" s="2">
        <f>IF($B117="","",XLOOKUP($B117,tblEmployeeMaster[employee_id],tblEmployeeMaster[department],""))</f>
        <v/>
      </c>
      <c r="E117" s="2">
        <f>IF($A117="","",INDEX(tblResourceInput[work_date],ROW()-1))</f>
        <v/>
      </c>
      <c r="F117" s="2">
        <f>IF($A117="","",INDEX(tblResourceInput[project_id],ROW()-1))</f>
        <v/>
      </c>
      <c r="G117" s="2">
        <f>IF($F117="","",XLOOKUP($F117,tblProjectMaster[project_id],tblProjectMaster[project_name],""))</f>
        <v/>
      </c>
      <c r="H117" s="2">
        <f>IF($A117="","",INDEX(tblResourceInput[task_name],ROW()-1))</f>
        <v/>
      </c>
      <c r="I117" s="2">
        <f>IF($A117="","",INDEX(tblResourceInput[planned_hours],ROW()-1))</f>
        <v/>
      </c>
      <c r="J117" s="2">
        <f>IF($B117="","",XLOOKUP($B117,tblEmployeeMaster[employee_id],tblEmployeeMaster[daily_capacity_hours],0))</f>
        <v/>
      </c>
      <c r="K117" s="2">
        <f>IF($B117="","",SUMIFS(tblResourceInput[planned_hours],tblResourceInput[employee_id],$B117,tblResourceInput[work_date],$E117))</f>
        <v/>
      </c>
      <c r="L117" s="5">
        <f>IFERROR($K117/$J117,0)</f>
        <v/>
      </c>
      <c r="M117" s="2">
        <f>IF($A117="","",IF($K117&gt;$J117,"OVER","OK"))</f>
        <v/>
      </c>
      <c r="N117" s="2">
        <f>IF($A117="","",MAX($J117-$K117,0))</f>
        <v/>
      </c>
      <c r="O117" s="5">
        <f>IF($F117="","",MAXIFS(tblProgressInput[progress_percent],tblProgressInput[project_id],$F117))</f>
        <v/>
      </c>
      <c r="P117" s="2">
        <f>IF($F117="","",XLOOKUP($F117,tblProgressInput[project_id],tblProgressInput[progress_status],"Not Started",0,-1))</f>
        <v/>
      </c>
      <c r="Q117" s="2">
        <f>IF($F117="","",XLOOKUP($F117,tblProgressInput[project_id],tblProgressInput[issue_flag],"",0,-1))</f>
        <v/>
      </c>
    </row>
    <row r="118">
      <c r="A118" s="2">
        <f>IFERROR(INDEX(tblResourceInput[entry_id],ROW()-1),"")</f>
        <v/>
      </c>
      <c r="B118" s="2">
        <f>IF($A118="","",INDEX(tblResourceInput[employee_id],ROW()-1))</f>
        <v/>
      </c>
      <c r="C118" s="2">
        <f>IF($B118="","",XLOOKUP($B118,tblEmployeeMaster[employee_id],tblEmployeeMaster[employee_name],""))</f>
        <v/>
      </c>
      <c r="D118" s="2">
        <f>IF($B118="","",XLOOKUP($B118,tblEmployeeMaster[employee_id],tblEmployeeMaster[department],""))</f>
        <v/>
      </c>
      <c r="E118" s="2">
        <f>IF($A118="","",INDEX(tblResourceInput[work_date],ROW()-1))</f>
        <v/>
      </c>
      <c r="F118" s="2">
        <f>IF($A118="","",INDEX(tblResourceInput[project_id],ROW()-1))</f>
        <v/>
      </c>
      <c r="G118" s="2">
        <f>IF($F118="","",XLOOKUP($F118,tblProjectMaster[project_id],tblProjectMaster[project_name],""))</f>
        <v/>
      </c>
      <c r="H118" s="2">
        <f>IF($A118="","",INDEX(tblResourceInput[task_name],ROW()-1))</f>
        <v/>
      </c>
      <c r="I118" s="2">
        <f>IF($A118="","",INDEX(tblResourceInput[planned_hours],ROW()-1))</f>
        <v/>
      </c>
      <c r="J118" s="2">
        <f>IF($B118="","",XLOOKUP($B118,tblEmployeeMaster[employee_id],tblEmployeeMaster[daily_capacity_hours],0))</f>
        <v/>
      </c>
      <c r="K118" s="2">
        <f>IF($B118="","",SUMIFS(tblResourceInput[planned_hours],tblResourceInput[employee_id],$B118,tblResourceInput[work_date],$E118))</f>
        <v/>
      </c>
      <c r="L118" s="5">
        <f>IFERROR($K118/$J118,0)</f>
        <v/>
      </c>
      <c r="M118" s="2">
        <f>IF($A118="","",IF($K118&gt;$J118,"OVER","OK"))</f>
        <v/>
      </c>
      <c r="N118" s="2">
        <f>IF($A118="","",MAX($J118-$K118,0))</f>
        <v/>
      </c>
      <c r="O118" s="5">
        <f>IF($F118="","",MAXIFS(tblProgressInput[progress_percent],tblProgressInput[project_id],$F118))</f>
        <v/>
      </c>
      <c r="P118" s="2">
        <f>IF($F118="","",XLOOKUP($F118,tblProgressInput[project_id],tblProgressInput[progress_status],"Not Started",0,-1))</f>
        <v/>
      </c>
      <c r="Q118" s="2">
        <f>IF($F118="","",XLOOKUP($F118,tblProgressInput[project_id],tblProgressInput[issue_flag],"",0,-1))</f>
        <v/>
      </c>
    </row>
    <row r="119">
      <c r="A119" s="2">
        <f>IFERROR(INDEX(tblResourceInput[entry_id],ROW()-1),"")</f>
        <v/>
      </c>
      <c r="B119" s="2">
        <f>IF($A119="","",INDEX(tblResourceInput[employee_id],ROW()-1))</f>
        <v/>
      </c>
      <c r="C119" s="2">
        <f>IF($B119="","",XLOOKUP($B119,tblEmployeeMaster[employee_id],tblEmployeeMaster[employee_name],""))</f>
        <v/>
      </c>
      <c r="D119" s="2">
        <f>IF($B119="","",XLOOKUP($B119,tblEmployeeMaster[employee_id],tblEmployeeMaster[department],""))</f>
        <v/>
      </c>
      <c r="E119" s="2">
        <f>IF($A119="","",INDEX(tblResourceInput[work_date],ROW()-1))</f>
        <v/>
      </c>
      <c r="F119" s="2">
        <f>IF($A119="","",INDEX(tblResourceInput[project_id],ROW()-1))</f>
        <v/>
      </c>
      <c r="G119" s="2">
        <f>IF($F119="","",XLOOKUP($F119,tblProjectMaster[project_id],tblProjectMaster[project_name],""))</f>
        <v/>
      </c>
      <c r="H119" s="2">
        <f>IF($A119="","",INDEX(tblResourceInput[task_name],ROW()-1))</f>
        <v/>
      </c>
      <c r="I119" s="2">
        <f>IF($A119="","",INDEX(tblResourceInput[planned_hours],ROW()-1))</f>
        <v/>
      </c>
      <c r="J119" s="2">
        <f>IF($B119="","",XLOOKUP($B119,tblEmployeeMaster[employee_id],tblEmployeeMaster[daily_capacity_hours],0))</f>
        <v/>
      </c>
      <c r="K119" s="2">
        <f>IF($B119="","",SUMIFS(tblResourceInput[planned_hours],tblResourceInput[employee_id],$B119,tblResourceInput[work_date],$E119))</f>
        <v/>
      </c>
      <c r="L119" s="5">
        <f>IFERROR($K119/$J119,0)</f>
        <v/>
      </c>
      <c r="M119" s="2">
        <f>IF($A119="","",IF($K119&gt;$J119,"OVER","OK"))</f>
        <v/>
      </c>
      <c r="N119" s="2">
        <f>IF($A119="","",MAX($J119-$K119,0))</f>
        <v/>
      </c>
      <c r="O119" s="5">
        <f>IF($F119="","",MAXIFS(tblProgressInput[progress_percent],tblProgressInput[project_id],$F119))</f>
        <v/>
      </c>
      <c r="P119" s="2">
        <f>IF($F119="","",XLOOKUP($F119,tblProgressInput[project_id],tblProgressInput[progress_status],"Not Started",0,-1))</f>
        <v/>
      </c>
      <c r="Q119" s="2">
        <f>IF($F119="","",XLOOKUP($F119,tblProgressInput[project_id],tblProgressInput[issue_flag],"",0,-1))</f>
        <v/>
      </c>
    </row>
    <row r="120">
      <c r="A120" s="2">
        <f>IFERROR(INDEX(tblResourceInput[entry_id],ROW()-1),"")</f>
        <v/>
      </c>
      <c r="B120" s="2">
        <f>IF($A120="","",INDEX(tblResourceInput[employee_id],ROW()-1))</f>
        <v/>
      </c>
      <c r="C120" s="2">
        <f>IF($B120="","",XLOOKUP($B120,tblEmployeeMaster[employee_id],tblEmployeeMaster[employee_name],""))</f>
        <v/>
      </c>
      <c r="D120" s="2">
        <f>IF($B120="","",XLOOKUP($B120,tblEmployeeMaster[employee_id],tblEmployeeMaster[department],""))</f>
        <v/>
      </c>
      <c r="E120" s="2">
        <f>IF($A120="","",INDEX(tblResourceInput[work_date],ROW()-1))</f>
        <v/>
      </c>
      <c r="F120" s="2">
        <f>IF($A120="","",INDEX(tblResourceInput[project_id],ROW()-1))</f>
        <v/>
      </c>
      <c r="G120" s="2">
        <f>IF($F120="","",XLOOKUP($F120,tblProjectMaster[project_id],tblProjectMaster[project_name],""))</f>
        <v/>
      </c>
      <c r="H120" s="2">
        <f>IF($A120="","",INDEX(tblResourceInput[task_name],ROW()-1))</f>
        <v/>
      </c>
      <c r="I120" s="2">
        <f>IF($A120="","",INDEX(tblResourceInput[planned_hours],ROW()-1))</f>
        <v/>
      </c>
      <c r="J120" s="2">
        <f>IF($B120="","",XLOOKUP($B120,tblEmployeeMaster[employee_id],tblEmployeeMaster[daily_capacity_hours],0))</f>
        <v/>
      </c>
      <c r="K120" s="2">
        <f>IF($B120="","",SUMIFS(tblResourceInput[planned_hours],tblResourceInput[employee_id],$B120,tblResourceInput[work_date],$E120))</f>
        <v/>
      </c>
      <c r="L120" s="5">
        <f>IFERROR($K120/$J120,0)</f>
        <v/>
      </c>
      <c r="M120" s="2">
        <f>IF($A120="","",IF($K120&gt;$J120,"OVER","OK"))</f>
        <v/>
      </c>
      <c r="N120" s="2">
        <f>IF($A120="","",MAX($J120-$K120,0))</f>
        <v/>
      </c>
      <c r="O120" s="5">
        <f>IF($F120="","",MAXIFS(tblProgressInput[progress_percent],tblProgressInput[project_id],$F120))</f>
        <v/>
      </c>
      <c r="P120" s="2">
        <f>IF($F120="","",XLOOKUP($F120,tblProgressInput[project_id],tblProgressInput[progress_status],"Not Started",0,-1))</f>
        <v/>
      </c>
      <c r="Q120" s="2">
        <f>IF($F120="","",XLOOKUP($F120,tblProgressInput[project_id],tblProgressInput[issue_flag],"",0,-1))</f>
        <v/>
      </c>
    </row>
    <row r="121">
      <c r="A121" s="2">
        <f>IFERROR(INDEX(tblResourceInput[entry_id],ROW()-1),"")</f>
        <v/>
      </c>
      <c r="B121" s="2">
        <f>IF($A121="","",INDEX(tblResourceInput[employee_id],ROW()-1))</f>
        <v/>
      </c>
      <c r="C121" s="2">
        <f>IF($B121="","",XLOOKUP($B121,tblEmployeeMaster[employee_id],tblEmployeeMaster[employee_name],""))</f>
        <v/>
      </c>
      <c r="D121" s="2">
        <f>IF($B121="","",XLOOKUP($B121,tblEmployeeMaster[employee_id],tblEmployeeMaster[department],""))</f>
        <v/>
      </c>
      <c r="E121" s="2">
        <f>IF($A121="","",INDEX(tblResourceInput[work_date],ROW()-1))</f>
        <v/>
      </c>
      <c r="F121" s="2">
        <f>IF($A121="","",INDEX(tblResourceInput[project_id],ROW()-1))</f>
        <v/>
      </c>
      <c r="G121" s="2">
        <f>IF($F121="","",XLOOKUP($F121,tblProjectMaster[project_id],tblProjectMaster[project_name],""))</f>
        <v/>
      </c>
      <c r="H121" s="2">
        <f>IF($A121="","",INDEX(tblResourceInput[task_name],ROW()-1))</f>
        <v/>
      </c>
      <c r="I121" s="2">
        <f>IF($A121="","",INDEX(tblResourceInput[planned_hours],ROW()-1))</f>
        <v/>
      </c>
      <c r="J121" s="2">
        <f>IF($B121="","",XLOOKUP($B121,tblEmployeeMaster[employee_id],tblEmployeeMaster[daily_capacity_hours],0))</f>
        <v/>
      </c>
      <c r="K121" s="2">
        <f>IF($B121="","",SUMIFS(tblResourceInput[planned_hours],tblResourceInput[employee_id],$B121,tblResourceInput[work_date],$E121))</f>
        <v/>
      </c>
      <c r="L121" s="5">
        <f>IFERROR($K121/$J121,0)</f>
        <v/>
      </c>
      <c r="M121" s="2">
        <f>IF($A121="","",IF($K121&gt;$J121,"OVER","OK"))</f>
        <v/>
      </c>
      <c r="N121" s="2">
        <f>IF($A121="","",MAX($J121-$K121,0))</f>
        <v/>
      </c>
      <c r="O121" s="5">
        <f>IF($F121="","",MAXIFS(tblProgressInput[progress_percent],tblProgressInput[project_id],$F121))</f>
        <v/>
      </c>
      <c r="P121" s="2">
        <f>IF($F121="","",XLOOKUP($F121,tblProgressInput[project_id],tblProgressInput[progress_status],"Not Started",0,-1))</f>
        <v/>
      </c>
      <c r="Q121" s="2">
        <f>IF($F121="","",XLOOKUP($F121,tblProgressInput[project_id],tblProgressInput[issue_flag],"",0,-1))</f>
        <v/>
      </c>
    </row>
    <row r="122">
      <c r="A122" s="2">
        <f>IFERROR(INDEX(tblResourceInput[entry_id],ROW()-1),"")</f>
        <v/>
      </c>
      <c r="B122" s="2">
        <f>IF($A122="","",INDEX(tblResourceInput[employee_id],ROW()-1))</f>
        <v/>
      </c>
      <c r="C122" s="2">
        <f>IF($B122="","",XLOOKUP($B122,tblEmployeeMaster[employee_id],tblEmployeeMaster[employee_name],""))</f>
        <v/>
      </c>
      <c r="D122" s="2">
        <f>IF($B122="","",XLOOKUP($B122,tblEmployeeMaster[employee_id],tblEmployeeMaster[department],""))</f>
        <v/>
      </c>
      <c r="E122" s="2">
        <f>IF($A122="","",INDEX(tblResourceInput[work_date],ROW()-1))</f>
        <v/>
      </c>
      <c r="F122" s="2">
        <f>IF($A122="","",INDEX(tblResourceInput[project_id],ROW()-1))</f>
        <v/>
      </c>
      <c r="G122" s="2">
        <f>IF($F122="","",XLOOKUP($F122,tblProjectMaster[project_id],tblProjectMaster[project_name],""))</f>
        <v/>
      </c>
      <c r="H122" s="2">
        <f>IF($A122="","",INDEX(tblResourceInput[task_name],ROW()-1))</f>
        <v/>
      </c>
      <c r="I122" s="2">
        <f>IF($A122="","",INDEX(tblResourceInput[planned_hours],ROW()-1))</f>
        <v/>
      </c>
      <c r="J122" s="2">
        <f>IF($B122="","",XLOOKUP($B122,tblEmployeeMaster[employee_id],tblEmployeeMaster[daily_capacity_hours],0))</f>
        <v/>
      </c>
      <c r="K122" s="2">
        <f>IF($B122="","",SUMIFS(tblResourceInput[planned_hours],tblResourceInput[employee_id],$B122,tblResourceInput[work_date],$E122))</f>
        <v/>
      </c>
      <c r="L122" s="5">
        <f>IFERROR($K122/$J122,0)</f>
        <v/>
      </c>
      <c r="M122" s="2">
        <f>IF($A122="","",IF($K122&gt;$J122,"OVER","OK"))</f>
        <v/>
      </c>
      <c r="N122" s="2">
        <f>IF($A122="","",MAX($J122-$K122,0))</f>
        <v/>
      </c>
      <c r="O122" s="5">
        <f>IF($F122="","",MAXIFS(tblProgressInput[progress_percent],tblProgressInput[project_id],$F122))</f>
        <v/>
      </c>
      <c r="P122" s="2">
        <f>IF($F122="","",XLOOKUP($F122,tblProgressInput[project_id],tblProgressInput[progress_status],"Not Started",0,-1))</f>
        <v/>
      </c>
      <c r="Q122" s="2">
        <f>IF($F122="","",XLOOKUP($F122,tblProgressInput[project_id],tblProgressInput[issue_flag],"",0,-1))</f>
        <v/>
      </c>
    </row>
    <row r="123">
      <c r="A123" s="2">
        <f>IFERROR(INDEX(tblResourceInput[entry_id],ROW()-1),"")</f>
        <v/>
      </c>
      <c r="B123" s="2">
        <f>IF($A123="","",INDEX(tblResourceInput[employee_id],ROW()-1))</f>
        <v/>
      </c>
      <c r="C123" s="2">
        <f>IF($B123="","",XLOOKUP($B123,tblEmployeeMaster[employee_id],tblEmployeeMaster[employee_name],""))</f>
        <v/>
      </c>
      <c r="D123" s="2">
        <f>IF($B123="","",XLOOKUP($B123,tblEmployeeMaster[employee_id],tblEmployeeMaster[department],""))</f>
        <v/>
      </c>
      <c r="E123" s="2">
        <f>IF($A123="","",INDEX(tblResourceInput[work_date],ROW()-1))</f>
        <v/>
      </c>
      <c r="F123" s="2">
        <f>IF($A123="","",INDEX(tblResourceInput[project_id],ROW()-1))</f>
        <v/>
      </c>
      <c r="G123" s="2">
        <f>IF($F123="","",XLOOKUP($F123,tblProjectMaster[project_id],tblProjectMaster[project_name],""))</f>
        <v/>
      </c>
      <c r="H123" s="2">
        <f>IF($A123="","",INDEX(tblResourceInput[task_name],ROW()-1))</f>
        <v/>
      </c>
      <c r="I123" s="2">
        <f>IF($A123="","",INDEX(tblResourceInput[planned_hours],ROW()-1))</f>
        <v/>
      </c>
      <c r="J123" s="2">
        <f>IF($B123="","",XLOOKUP($B123,tblEmployeeMaster[employee_id],tblEmployeeMaster[daily_capacity_hours],0))</f>
        <v/>
      </c>
      <c r="K123" s="2">
        <f>IF($B123="","",SUMIFS(tblResourceInput[planned_hours],tblResourceInput[employee_id],$B123,tblResourceInput[work_date],$E123))</f>
        <v/>
      </c>
      <c r="L123" s="5">
        <f>IFERROR($K123/$J123,0)</f>
        <v/>
      </c>
      <c r="M123" s="2">
        <f>IF($A123="","",IF($K123&gt;$J123,"OVER","OK"))</f>
        <v/>
      </c>
      <c r="N123" s="2">
        <f>IF($A123="","",MAX($J123-$K123,0))</f>
        <v/>
      </c>
      <c r="O123" s="5">
        <f>IF($F123="","",MAXIFS(tblProgressInput[progress_percent],tblProgressInput[project_id],$F123))</f>
        <v/>
      </c>
      <c r="P123" s="2">
        <f>IF($F123="","",XLOOKUP($F123,tblProgressInput[project_id],tblProgressInput[progress_status],"Not Started",0,-1))</f>
        <v/>
      </c>
      <c r="Q123" s="2">
        <f>IF($F123="","",XLOOKUP($F123,tblProgressInput[project_id],tblProgressInput[issue_flag],"",0,-1))</f>
        <v/>
      </c>
    </row>
    <row r="124">
      <c r="A124" s="2">
        <f>IFERROR(INDEX(tblResourceInput[entry_id],ROW()-1),"")</f>
        <v/>
      </c>
      <c r="B124" s="2">
        <f>IF($A124="","",INDEX(tblResourceInput[employee_id],ROW()-1))</f>
        <v/>
      </c>
      <c r="C124" s="2">
        <f>IF($B124="","",XLOOKUP($B124,tblEmployeeMaster[employee_id],tblEmployeeMaster[employee_name],""))</f>
        <v/>
      </c>
      <c r="D124" s="2">
        <f>IF($B124="","",XLOOKUP($B124,tblEmployeeMaster[employee_id],tblEmployeeMaster[department],""))</f>
        <v/>
      </c>
      <c r="E124" s="2">
        <f>IF($A124="","",INDEX(tblResourceInput[work_date],ROW()-1))</f>
        <v/>
      </c>
      <c r="F124" s="2">
        <f>IF($A124="","",INDEX(tblResourceInput[project_id],ROW()-1))</f>
        <v/>
      </c>
      <c r="G124" s="2">
        <f>IF($F124="","",XLOOKUP($F124,tblProjectMaster[project_id],tblProjectMaster[project_name],""))</f>
        <v/>
      </c>
      <c r="H124" s="2">
        <f>IF($A124="","",INDEX(tblResourceInput[task_name],ROW()-1))</f>
        <v/>
      </c>
      <c r="I124" s="2">
        <f>IF($A124="","",INDEX(tblResourceInput[planned_hours],ROW()-1))</f>
        <v/>
      </c>
      <c r="J124" s="2">
        <f>IF($B124="","",XLOOKUP($B124,tblEmployeeMaster[employee_id],tblEmployeeMaster[daily_capacity_hours],0))</f>
        <v/>
      </c>
      <c r="K124" s="2">
        <f>IF($B124="","",SUMIFS(tblResourceInput[planned_hours],tblResourceInput[employee_id],$B124,tblResourceInput[work_date],$E124))</f>
        <v/>
      </c>
      <c r="L124" s="5">
        <f>IFERROR($K124/$J124,0)</f>
        <v/>
      </c>
      <c r="M124" s="2">
        <f>IF($A124="","",IF($K124&gt;$J124,"OVER","OK"))</f>
        <v/>
      </c>
      <c r="N124" s="2">
        <f>IF($A124="","",MAX($J124-$K124,0))</f>
        <v/>
      </c>
      <c r="O124" s="5">
        <f>IF($F124="","",MAXIFS(tblProgressInput[progress_percent],tblProgressInput[project_id],$F124))</f>
        <v/>
      </c>
      <c r="P124" s="2">
        <f>IF($F124="","",XLOOKUP($F124,tblProgressInput[project_id],tblProgressInput[progress_status],"Not Started",0,-1))</f>
        <v/>
      </c>
      <c r="Q124" s="2">
        <f>IF($F124="","",XLOOKUP($F124,tblProgressInput[project_id],tblProgressInput[issue_flag],"",0,-1))</f>
        <v/>
      </c>
    </row>
    <row r="125">
      <c r="A125" s="2">
        <f>IFERROR(INDEX(tblResourceInput[entry_id],ROW()-1),"")</f>
        <v/>
      </c>
      <c r="B125" s="2">
        <f>IF($A125="","",INDEX(tblResourceInput[employee_id],ROW()-1))</f>
        <v/>
      </c>
      <c r="C125" s="2">
        <f>IF($B125="","",XLOOKUP($B125,tblEmployeeMaster[employee_id],tblEmployeeMaster[employee_name],""))</f>
        <v/>
      </c>
      <c r="D125" s="2">
        <f>IF($B125="","",XLOOKUP($B125,tblEmployeeMaster[employee_id],tblEmployeeMaster[department],""))</f>
        <v/>
      </c>
      <c r="E125" s="2">
        <f>IF($A125="","",INDEX(tblResourceInput[work_date],ROW()-1))</f>
        <v/>
      </c>
      <c r="F125" s="2">
        <f>IF($A125="","",INDEX(tblResourceInput[project_id],ROW()-1))</f>
        <v/>
      </c>
      <c r="G125" s="2">
        <f>IF($F125="","",XLOOKUP($F125,tblProjectMaster[project_id],tblProjectMaster[project_name],""))</f>
        <v/>
      </c>
      <c r="H125" s="2">
        <f>IF($A125="","",INDEX(tblResourceInput[task_name],ROW()-1))</f>
        <v/>
      </c>
      <c r="I125" s="2">
        <f>IF($A125="","",INDEX(tblResourceInput[planned_hours],ROW()-1))</f>
        <v/>
      </c>
      <c r="J125" s="2">
        <f>IF($B125="","",XLOOKUP($B125,tblEmployeeMaster[employee_id],tblEmployeeMaster[daily_capacity_hours],0))</f>
        <v/>
      </c>
      <c r="K125" s="2">
        <f>IF($B125="","",SUMIFS(tblResourceInput[planned_hours],tblResourceInput[employee_id],$B125,tblResourceInput[work_date],$E125))</f>
        <v/>
      </c>
      <c r="L125" s="5">
        <f>IFERROR($K125/$J125,0)</f>
        <v/>
      </c>
      <c r="M125" s="2">
        <f>IF($A125="","",IF($K125&gt;$J125,"OVER","OK"))</f>
        <v/>
      </c>
      <c r="N125" s="2">
        <f>IF($A125="","",MAX($J125-$K125,0))</f>
        <v/>
      </c>
      <c r="O125" s="5">
        <f>IF($F125="","",MAXIFS(tblProgressInput[progress_percent],tblProgressInput[project_id],$F125))</f>
        <v/>
      </c>
      <c r="P125" s="2">
        <f>IF($F125="","",XLOOKUP($F125,tblProgressInput[project_id],tblProgressInput[progress_status],"Not Started",0,-1))</f>
        <v/>
      </c>
      <c r="Q125" s="2">
        <f>IF($F125="","",XLOOKUP($F125,tblProgressInput[project_id],tblProgressInput[issue_flag],"",0,-1))</f>
        <v/>
      </c>
    </row>
    <row r="126">
      <c r="A126" s="2">
        <f>IFERROR(INDEX(tblResourceInput[entry_id],ROW()-1),"")</f>
        <v/>
      </c>
      <c r="B126" s="2">
        <f>IF($A126="","",INDEX(tblResourceInput[employee_id],ROW()-1))</f>
        <v/>
      </c>
      <c r="C126" s="2">
        <f>IF($B126="","",XLOOKUP($B126,tblEmployeeMaster[employee_id],tblEmployeeMaster[employee_name],""))</f>
        <v/>
      </c>
      <c r="D126" s="2">
        <f>IF($B126="","",XLOOKUP($B126,tblEmployeeMaster[employee_id],tblEmployeeMaster[department],""))</f>
        <v/>
      </c>
      <c r="E126" s="2">
        <f>IF($A126="","",INDEX(tblResourceInput[work_date],ROW()-1))</f>
        <v/>
      </c>
      <c r="F126" s="2">
        <f>IF($A126="","",INDEX(tblResourceInput[project_id],ROW()-1))</f>
        <v/>
      </c>
      <c r="G126" s="2">
        <f>IF($F126="","",XLOOKUP($F126,tblProjectMaster[project_id],tblProjectMaster[project_name],""))</f>
        <v/>
      </c>
      <c r="H126" s="2">
        <f>IF($A126="","",INDEX(tblResourceInput[task_name],ROW()-1))</f>
        <v/>
      </c>
      <c r="I126" s="2">
        <f>IF($A126="","",INDEX(tblResourceInput[planned_hours],ROW()-1))</f>
        <v/>
      </c>
      <c r="J126" s="2">
        <f>IF($B126="","",XLOOKUP($B126,tblEmployeeMaster[employee_id],tblEmployeeMaster[daily_capacity_hours],0))</f>
        <v/>
      </c>
      <c r="K126" s="2">
        <f>IF($B126="","",SUMIFS(tblResourceInput[planned_hours],tblResourceInput[employee_id],$B126,tblResourceInput[work_date],$E126))</f>
        <v/>
      </c>
      <c r="L126" s="5">
        <f>IFERROR($K126/$J126,0)</f>
        <v/>
      </c>
      <c r="M126" s="2">
        <f>IF($A126="","",IF($K126&gt;$J126,"OVER","OK"))</f>
        <v/>
      </c>
      <c r="N126" s="2">
        <f>IF($A126="","",MAX($J126-$K126,0))</f>
        <v/>
      </c>
      <c r="O126" s="5">
        <f>IF($F126="","",MAXIFS(tblProgressInput[progress_percent],tblProgressInput[project_id],$F126))</f>
        <v/>
      </c>
      <c r="P126" s="2">
        <f>IF($F126="","",XLOOKUP($F126,tblProgressInput[project_id],tblProgressInput[progress_status],"Not Started",0,-1))</f>
        <v/>
      </c>
      <c r="Q126" s="2">
        <f>IF($F126="","",XLOOKUP($F126,tblProgressInput[project_id],tblProgressInput[issue_flag],"",0,-1))</f>
        <v/>
      </c>
    </row>
    <row r="127">
      <c r="A127" s="2">
        <f>IFERROR(INDEX(tblResourceInput[entry_id],ROW()-1),"")</f>
        <v/>
      </c>
      <c r="B127" s="2">
        <f>IF($A127="","",INDEX(tblResourceInput[employee_id],ROW()-1))</f>
        <v/>
      </c>
      <c r="C127" s="2">
        <f>IF($B127="","",XLOOKUP($B127,tblEmployeeMaster[employee_id],tblEmployeeMaster[employee_name],""))</f>
        <v/>
      </c>
      <c r="D127" s="2">
        <f>IF($B127="","",XLOOKUP($B127,tblEmployeeMaster[employee_id],tblEmployeeMaster[department],""))</f>
        <v/>
      </c>
      <c r="E127" s="2">
        <f>IF($A127="","",INDEX(tblResourceInput[work_date],ROW()-1))</f>
        <v/>
      </c>
      <c r="F127" s="2">
        <f>IF($A127="","",INDEX(tblResourceInput[project_id],ROW()-1))</f>
        <v/>
      </c>
      <c r="G127" s="2">
        <f>IF($F127="","",XLOOKUP($F127,tblProjectMaster[project_id],tblProjectMaster[project_name],""))</f>
        <v/>
      </c>
      <c r="H127" s="2">
        <f>IF($A127="","",INDEX(tblResourceInput[task_name],ROW()-1))</f>
        <v/>
      </c>
      <c r="I127" s="2">
        <f>IF($A127="","",INDEX(tblResourceInput[planned_hours],ROW()-1))</f>
        <v/>
      </c>
      <c r="J127" s="2">
        <f>IF($B127="","",XLOOKUP($B127,tblEmployeeMaster[employee_id],tblEmployeeMaster[daily_capacity_hours],0))</f>
        <v/>
      </c>
      <c r="K127" s="2">
        <f>IF($B127="","",SUMIFS(tblResourceInput[planned_hours],tblResourceInput[employee_id],$B127,tblResourceInput[work_date],$E127))</f>
        <v/>
      </c>
      <c r="L127" s="5">
        <f>IFERROR($K127/$J127,0)</f>
        <v/>
      </c>
      <c r="M127" s="2">
        <f>IF($A127="","",IF($K127&gt;$J127,"OVER","OK"))</f>
        <v/>
      </c>
      <c r="N127" s="2">
        <f>IF($A127="","",MAX($J127-$K127,0))</f>
        <v/>
      </c>
      <c r="O127" s="5">
        <f>IF($F127="","",MAXIFS(tblProgressInput[progress_percent],tblProgressInput[project_id],$F127))</f>
        <v/>
      </c>
      <c r="P127" s="2">
        <f>IF($F127="","",XLOOKUP($F127,tblProgressInput[project_id],tblProgressInput[progress_status],"Not Started",0,-1))</f>
        <v/>
      </c>
      <c r="Q127" s="2">
        <f>IF($F127="","",XLOOKUP($F127,tblProgressInput[project_id],tblProgressInput[issue_flag],"",0,-1))</f>
        <v/>
      </c>
    </row>
    <row r="128">
      <c r="A128" s="2">
        <f>IFERROR(INDEX(tblResourceInput[entry_id],ROW()-1),"")</f>
        <v/>
      </c>
      <c r="B128" s="2">
        <f>IF($A128="","",INDEX(tblResourceInput[employee_id],ROW()-1))</f>
        <v/>
      </c>
      <c r="C128" s="2">
        <f>IF($B128="","",XLOOKUP($B128,tblEmployeeMaster[employee_id],tblEmployeeMaster[employee_name],""))</f>
        <v/>
      </c>
      <c r="D128" s="2">
        <f>IF($B128="","",XLOOKUP($B128,tblEmployeeMaster[employee_id],tblEmployeeMaster[department],""))</f>
        <v/>
      </c>
      <c r="E128" s="2">
        <f>IF($A128="","",INDEX(tblResourceInput[work_date],ROW()-1))</f>
        <v/>
      </c>
      <c r="F128" s="2">
        <f>IF($A128="","",INDEX(tblResourceInput[project_id],ROW()-1))</f>
        <v/>
      </c>
      <c r="G128" s="2">
        <f>IF($F128="","",XLOOKUP($F128,tblProjectMaster[project_id],tblProjectMaster[project_name],""))</f>
        <v/>
      </c>
      <c r="H128" s="2">
        <f>IF($A128="","",INDEX(tblResourceInput[task_name],ROW()-1))</f>
        <v/>
      </c>
      <c r="I128" s="2">
        <f>IF($A128="","",INDEX(tblResourceInput[planned_hours],ROW()-1))</f>
        <v/>
      </c>
      <c r="J128" s="2">
        <f>IF($B128="","",XLOOKUP($B128,tblEmployeeMaster[employee_id],tblEmployeeMaster[daily_capacity_hours],0))</f>
        <v/>
      </c>
      <c r="K128" s="2">
        <f>IF($B128="","",SUMIFS(tblResourceInput[planned_hours],tblResourceInput[employee_id],$B128,tblResourceInput[work_date],$E128))</f>
        <v/>
      </c>
      <c r="L128" s="5">
        <f>IFERROR($K128/$J128,0)</f>
        <v/>
      </c>
      <c r="M128" s="2">
        <f>IF($A128="","",IF($K128&gt;$J128,"OVER","OK"))</f>
        <v/>
      </c>
      <c r="N128" s="2">
        <f>IF($A128="","",MAX($J128-$K128,0))</f>
        <v/>
      </c>
      <c r="O128" s="5">
        <f>IF($F128="","",MAXIFS(tblProgressInput[progress_percent],tblProgressInput[project_id],$F128))</f>
        <v/>
      </c>
      <c r="P128" s="2">
        <f>IF($F128="","",XLOOKUP($F128,tblProgressInput[project_id],tblProgressInput[progress_status],"Not Started",0,-1))</f>
        <v/>
      </c>
      <c r="Q128" s="2">
        <f>IF($F128="","",XLOOKUP($F128,tblProgressInput[project_id],tblProgressInput[issue_flag],"",0,-1))</f>
        <v/>
      </c>
    </row>
    <row r="129">
      <c r="A129" s="2">
        <f>IFERROR(INDEX(tblResourceInput[entry_id],ROW()-1),"")</f>
        <v/>
      </c>
      <c r="B129" s="2">
        <f>IF($A129="","",INDEX(tblResourceInput[employee_id],ROW()-1))</f>
        <v/>
      </c>
      <c r="C129" s="2">
        <f>IF($B129="","",XLOOKUP($B129,tblEmployeeMaster[employee_id],tblEmployeeMaster[employee_name],""))</f>
        <v/>
      </c>
      <c r="D129" s="2">
        <f>IF($B129="","",XLOOKUP($B129,tblEmployeeMaster[employee_id],tblEmployeeMaster[department],""))</f>
        <v/>
      </c>
      <c r="E129" s="2">
        <f>IF($A129="","",INDEX(tblResourceInput[work_date],ROW()-1))</f>
        <v/>
      </c>
      <c r="F129" s="2">
        <f>IF($A129="","",INDEX(tblResourceInput[project_id],ROW()-1))</f>
        <v/>
      </c>
      <c r="G129" s="2">
        <f>IF($F129="","",XLOOKUP($F129,tblProjectMaster[project_id],tblProjectMaster[project_name],""))</f>
        <v/>
      </c>
      <c r="H129" s="2">
        <f>IF($A129="","",INDEX(tblResourceInput[task_name],ROW()-1))</f>
        <v/>
      </c>
      <c r="I129" s="2">
        <f>IF($A129="","",INDEX(tblResourceInput[planned_hours],ROW()-1))</f>
        <v/>
      </c>
      <c r="J129" s="2">
        <f>IF($B129="","",XLOOKUP($B129,tblEmployeeMaster[employee_id],tblEmployeeMaster[daily_capacity_hours],0))</f>
        <v/>
      </c>
      <c r="K129" s="2">
        <f>IF($B129="","",SUMIFS(tblResourceInput[planned_hours],tblResourceInput[employee_id],$B129,tblResourceInput[work_date],$E129))</f>
        <v/>
      </c>
      <c r="L129" s="5">
        <f>IFERROR($K129/$J129,0)</f>
        <v/>
      </c>
      <c r="M129" s="2">
        <f>IF($A129="","",IF($K129&gt;$J129,"OVER","OK"))</f>
        <v/>
      </c>
      <c r="N129" s="2">
        <f>IF($A129="","",MAX($J129-$K129,0))</f>
        <v/>
      </c>
      <c r="O129" s="5">
        <f>IF($F129="","",MAXIFS(tblProgressInput[progress_percent],tblProgressInput[project_id],$F129))</f>
        <v/>
      </c>
      <c r="P129" s="2">
        <f>IF($F129="","",XLOOKUP($F129,tblProgressInput[project_id],tblProgressInput[progress_status],"Not Started",0,-1))</f>
        <v/>
      </c>
      <c r="Q129" s="2">
        <f>IF($F129="","",XLOOKUP($F129,tblProgressInput[project_id],tblProgressInput[issue_flag],"",0,-1))</f>
        <v/>
      </c>
    </row>
    <row r="130">
      <c r="A130" s="2">
        <f>IFERROR(INDEX(tblResourceInput[entry_id],ROW()-1),"")</f>
        <v/>
      </c>
      <c r="B130" s="2">
        <f>IF($A130="","",INDEX(tblResourceInput[employee_id],ROW()-1))</f>
        <v/>
      </c>
      <c r="C130" s="2">
        <f>IF($B130="","",XLOOKUP($B130,tblEmployeeMaster[employee_id],tblEmployeeMaster[employee_name],""))</f>
        <v/>
      </c>
      <c r="D130" s="2">
        <f>IF($B130="","",XLOOKUP($B130,tblEmployeeMaster[employee_id],tblEmployeeMaster[department],""))</f>
        <v/>
      </c>
      <c r="E130" s="2">
        <f>IF($A130="","",INDEX(tblResourceInput[work_date],ROW()-1))</f>
        <v/>
      </c>
      <c r="F130" s="2">
        <f>IF($A130="","",INDEX(tblResourceInput[project_id],ROW()-1))</f>
        <v/>
      </c>
      <c r="G130" s="2">
        <f>IF($F130="","",XLOOKUP($F130,tblProjectMaster[project_id],tblProjectMaster[project_name],""))</f>
        <v/>
      </c>
      <c r="H130" s="2">
        <f>IF($A130="","",INDEX(tblResourceInput[task_name],ROW()-1))</f>
        <v/>
      </c>
      <c r="I130" s="2">
        <f>IF($A130="","",INDEX(tblResourceInput[planned_hours],ROW()-1))</f>
        <v/>
      </c>
      <c r="J130" s="2">
        <f>IF($B130="","",XLOOKUP($B130,tblEmployeeMaster[employee_id],tblEmployeeMaster[daily_capacity_hours],0))</f>
        <v/>
      </c>
      <c r="K130" s="2">
        <f>IF($B130="","",SUMIFS(tblResourceInput[planned_hours],tblResourceInput[employee_id],$B130,tblResourceInput[work_date],$E130))</f>
        <v/>
      </c>
      <c r="L130" s="5">
        <f>IFERROR($K130/$J130,0)</f>
        <v/>
      </c>
      <c r="M130" s="2">
        <f>IF($A130="","",IF($K130&gt;$J130,"OVER","OK"))</f>
        <v/>
      </c>
      <c r="N130" s="2">
        <f>IF($A130="","",MAX($J130-$K130,0))</f>
        <v/>
      </c>
      <c r="O130" s="5">
        <f>IF($F130="","",MAXIFS(tblProgressInput[progress_percent],tblProgressInput[project_id],$F130))</f>
        <v/>
      </c>
      <c r="P130" s="2">
        <f>IF($F130="","",XLOOKUP($F130,tblProgressInput[project_id],tblProgressInput[progress_status],"Not Started",0,-1))</f>
        <v/>
      </c>
      <c r="Q130" s="2">
        <f>IF($F130="","",XLOOKUP($F130,tblProgressInput[project_id],tblProgressInput[issue_flag],"",0,-1))</f>
        <v/>
      </c>
    </row>
    <row r="131">
      <c r="A131" s="2">
        <f>IFERROR(INDEX(tblResourceInput[entry_id],ROW()-1),"")</f>
        <v/>
      </c>
      <c r="B131" s="2">
        <f>IF($A131="","",INDEX(tblResourceInput[employee_id],ROW()-1))</f>
        <v/>
      </c>
      <c r="C131" s="2">
        <f>IF($B131="","",XLOOKUP($B131,tblEmployeeMaster[employee_id],tblEmployeeMaster[employee_name],""))</f>
        <v/>
      </c>
      <c r="D131" s="2">
        <f>IF($B131="","",XLOOKUP($B131,tblEmployeeMaster[employee_id],tblEmployeeMaster[department],""))</f>
        <v/>
      </c>
      <c r="E131" s="2">
        <f>IF($A131="","",INDEX(tblResourceInput[work_date],ROW()-1))</f>
        <v/>
      </c>
      <c r="F131" s="2">
        <f>IF($A131="","",INDEX(tblResourceInput[project_id],ROW()-1))</f>
        <v/>
      </c>
      <c r="G131" s="2">
        <f>IF($F131="","",XLOOKUP($F131,tblProjectMaster[project_id],tblProjectMaster[project_name],""))</f>
        <v/>
      </c>
      <c r="H131" s="2">
        <f>IF($A131="","",INDEX(tblResourceInput[task_name],ROW()-1))</f>
        <v/>
      </c>
      <c r="I131" s="2">
        <f>IF($A131="","",INDEX(tblResourceInput[planned_hours],ROW()-1))</f>
        <v/>
      </c>
      <c r="J131" s="2">
        <f>IF($B131="","",XLOOKUP($B131,tblEmployeeMaster[employee_id],tblEmployeeMaster[daily_capacity_hours],0))</f>
        <v/>
      </c>
      <c r="K131" s="2">
        <f>IF($B131="","",SUMIFS(tblResourceInput[planned_hours],tblResourceInput[employee_id],$B131,tblResourceInput[work_date],$E131))</f>
        <v/>
      </c>
      <c r="L131" s="5">
        <f>IFERROR($K131/$J131,0)</f>
        <v/>
      </c>
      <c r="M131" s="2">
        <f>IF($A131="","",IF($K131&gt;$J131,"OVER","OK"))</f>
        <v/>
      </c>
      <c r="N131" s="2">
        <f>IF($A131="","",MAX($J131-$K131,0))</f>
        <v/>
      </c>
      <c r="O131" s="5">
        <f>IF($F131="","",MAXIFS(tblProgressInput[progress_percent],tblProgressInput[project_id],$F131))</f>
        <v/>
      </c>
      <c r="P131" s="2">
        <f>IF($F131="","",XLOOKUP($F131,tblProgressInput[project_id],tblProgressInput[progress_status],"Not Started",0,-1))</f>
        <v/>
      </c>
      <c r="Q131" s="2">
        <f>IF($F131="","",XLOOKUP($F131,tblProgressInput[project_id],tblProgressInput[issue_flag],"",0,-1))</f>
        <v/>
      </c>
    </row>
    <row r="132">
      <c r="A132" s="2">
        <f>IFERROR(INDEX(tblResourceInput[entry_id],ROW()-1),"")</f>
        <v/>
      </c>
      <c r="B132" s="2">
        <f>IF($A132="","",INDEX(tblResourceInput[employee_id],ROW()-1))</f>
        <v/>
      </c>
      <c r="C132" s="2">
        <f>IF($B132="","",XLOOKUP($B132,tblEmployeeMaster[employee_id],tblEmployeeMaster[employee_name],""))</f>
        <v/>
      </c>
      <c r="D132" s="2">
        <f>IF($B132="","",XLOOKUP($B132,tblEmployeeMaster[employee_id],tblEmployeeMaster[department],""))</f>
        <v/>
      </c>
      <c r="E132" s="2">
        <f>IF($A132="","",INDEX(tblResourceInput[work_date],ROW()-1))</f>
        <v/>
      </c>
      <c r="F132" s="2">
        <f>IF($A132="","",INDEX(tblResourceInput[project_id],ROW()-1))</f>
        <v/>
      </c>
      <c r="G132" s="2">
        <f>IF($F132="","",XLOOKUP($F132,tblProjectMaster[project_id],tblProjectMaster[project_name],""))</f>
        <v/>
      </c>
      <c r="H132" s="2">
        <f>IF($A132="","",INDEX(tblResourceInput[task_name],ROW()-1))</f>
        <v/>
      </c>
      <c r="I132" s="2">
        <f>IF($A132="","",INDEX(tblResourceInput[planned_hours],ROW()-1))</f>
        <v/>
      </c>
      <c r="J132" s="2">
        <f>IF($B132="","",XLOOKUP($B132,tblEmployeeMaster[employee_id],tblEmployeeMaster[daily_capacity_hours],0))</f>
        <v/>
      </c>
      <c r="K132" s="2">
        <f>IF($B132="","",SUMIFS(tblResourceInput[planned_hours],tblResourceInput[employee_id],$B132,tblResourceInput[work_date],$E132))</f>
        <v/>
      </c>
      <c r="L132" s="5">
        <f>IFERROR($K132/$J132,0)</f>
        <v/>
      </c>
      <c r="M132" s="2">
        <f>IF($A132="","",IF($K132&gt;$J132,"OVER","OK"))</f>
        <v/>
      </c>
      <c r="N132" s="2">
        <f>IF($A132="","",MAX($J132-$K132,0))</f>
        <v/>
      </c>
      <c r="O132" s="5">
        <f>IF($F132="","",MAXIFS(tblProgressInput[progress_percent],tblProgressInput[project_id],$F132))</f>
        <v/>
      </c>
      <c r="P132" s="2">
        <f>IF($F132="","",XLOOKUP($F132,tblProgressInput[project_id],tblProgressInput[progress_status],"Not Started",0,-1))</f>
        <v/>
      </c>
      <c r="Q132" s="2">
        <f>IF($F132="","",XLOOKUP($F132,tblProgressInput[project_id],tblProgressInput[issue_flag],"",0,-1))</f>
        <v/>
      </c>
    </row>
    <row r="133">
      <c r="A133" s="2">
        <f>IFERROR(INDEX(tblResourceInput[entry_id],ROW()-1),"")</f>
        <v/>
      </c>
      <c r="B133" s="2">
        <f>IF($A133="","",INDEX(tblResourceInput[employee_id],ROW()-1))</f>
        <v/>
      </c>
      <c r="C133" s="2">
        <f>IF($B133="","",XLOOKUP($B133,tblEmployeeMaster[employee_id],tblEmployeeMaster[employee_name],""))</f>
        <v/>
      </c>
      <c r="D133" s="2">
        <f>IF($B133="","",XLOOKUP($B133,tblEmployeeMaster[employee_id],tblEmployeeMaster[department],""))</f>
        <v/>
      </c>
      <c r="E133" s="2">
        <f>IF($A133="","",INDEX(tblResourceInput[work_date],ROW()-1))</f>
        <v/>
      </c>
      <c r="F133" s="2">
        <f>IF($A133="","",INDEX(tblResourceInput[project_id],ROW()-1))</f>
        <v/>
      </c>
      <c r="G133" s="2">
        <f>IF($F133="","",XLOOKUP($F133,tblProjectMaster[project_id],tblProjectMaster[project_name],""))</f>
        <v/>
      </c>
      <c r="H133" s="2">
        <f>IF($A133="","",INDEX(tblResourceInput[task_name],ROW()-1))</f>
        <v/>
      </c>
      <c r="I133" s="2">
        <f>IF($A133="","",INDEX(tblResourceInput[planned_hours],ROW()-1))</f>
        <v/>
      </c>
      <c r="J133" s="2">
        <f>IF($B133="","",XLOOKUP($B133,tblEmployeeMaster[employee_id],tblEmployeeMaster[daily_capacity_hours],0))</f>
        <v/>
      </c>
      <c r="K133" s="2">
        <f>IF($B133="","",SUMIFS(tblResourceInput[planned_hours],tblResourceInput[employee_id],$B133,tblResourceInput[work_date],$E133))</f>
        <v/>
      </c>
      <c r="L133" s="5">
        <f>IFERROR($K133/$J133,0)</f>
        <v/>
      </c>
      <c r="M133" s="2">
        <f>IF($A133="","",IF($K133&gt;$J133,"OVER","OK"))</f>
        <v/>
      </c>
      <c r="N133" s="2">
        <f>IF($A133="","",MAX($J133-$K133,0))</f>
        <v/>
      </c>
      <c r="O133" s="5">
        <f>IF($F133="","",MAXIFS(tblProgressInput[progress_percent],tblProgressInput[project_id],$F133))</f>
        <v/>
      </c>
      <c r="P133" s="2">
        <f>IF($F133="","",XLOOKUP($F133,tblProgressInput[project_id],tblProgressInput[progress_status],"Not Started",0,-1))</f>
        <v/>
      </c>
      <c r="Q133" s="2">
        <f>IF($F133="","",XLOOKUP($F133,tblProgressInput[project_id],tblProgressInput[issue_flag],"",0,-1))</f>
        <v/>
      </c>
    </row>
    <row r="134">
      <c r="A134" s="2">
        <f>IFERROR(INDEX(tblResourceInput[entry_id],ROW()-1),"")</f>
        <v/>
      </c>
      <c r="B134" s="2">
        <f>IF($A134="","",INDEX(tblResourceInput[employee_id],ROW()-1))</f>
        <v/>
      </c>
      <c r="C134" s="2">
        <f>IF($B134="","",XLOOKUP($B134,tblEmployeeMaster[employee_id],tblEmployeeMaster[employee_name],""))</f>
        <v/>
      </c>
      <c r="D134" s="2">
        <f>IF($B134="","",XLOOKUP($B134,tblEmployeeMaster[employee_id],tblEmployeeMaster[department],""))</f>
        <v/>
      </c>
      <c r="E134" s="2">
        <f>IF($A134="","",INDEX(tblResourceInput[work_date],ROW()-1))</f>
        <v/>
      </c>
      <c r="F134" s="2">
        <f>IF($A134="","",INDEX(tblResourceInput[project_id],ROW()-1))</f>
        <v/>
      </c>
      <c r="G134" s="2">
        <f>IF($F134="","",XLOOKUP($F134,tblProjectMaster[project_id],tblProjectMaster[project_name],""))</f>
        <v/>
      </c>
      <c r="H134" s="2">
        <f>IF($A134="","",INDEX(tblResourceInput[task_name],ROW()-1))</f>
        <v/>
      </c>
      <c r="I134" s="2">
        <f>IF($A134="","",INDEX(tblResourceInput[planned_hours],ROW()-1))</f>
        <v/>
      </c>
      <c r="J134" s="2">
        <f>IF($B134="","",XLOOKUP($B134,tblEmployeeMaster[employee_id],tblEmployeeMaster[daily_capacity_hours],0))</f>
        <v/>
      </c>
      <c r="K134" s="2">
        <f>IF($B134="","",SUMIFS(tblResourceInput[planned_hours],tblResourceInput[employee_id],$B134,tblResourceInput[work_date],$E134))</f>
        <v/>
      </c>
      <c r="L134" s="5">
        <f>IFERROR($K134/$J134,0)</f>
        <v/>
      </c>
      <c r="M134" s="2">
        <f>IF($A134="","",IF($K134&gt;$J134,"OVER","OK"))</f>
        <v/>
      </c>
      <c r="N134" s="2">
        <f>IF($A134="","",MAX($J134-$K134,0))</f>
        <v/>
      </c>
      <c r="O134" s="5">
        <f>IF($F134="","",MAXIFS(tblProgressInput[progress_percent],tblProgressInput[project_id],$F134))</f>
        <v/>
      </c>
      <c r="P134" s="2">
        <f>IF($F134="","",XLOOKUP($F134,tblProgressInput[project_id],tblProgressInput[progress_status],"Not Started",0,-1))</f>
        <v/>
      </c>
      <c r="Q134" s="2">
        <f>IF($F134="","",XLOOKUP($F134,tblProgressInput[project_id],tblProgressInput[issue_flag],"",0,-1))</f>
        <v/>
      </c>
    </row>
    <row r="135">
      <c r="A135" s="2">
        <f>IFERROR(INDEX(tblResourceInput[entry_id],ROW()-1),"")</f>
        <v/>
      </c>
      <c r="B135" s="2">
        <f>IF($A135="","",INDEX(tblResourceInput[employee_id],ROW()-1))</f>
        <v/>
      </c>
      <c r="C135" s="2">
        <f>IF($B135="","",XLOOKUP($B135,tblEmployeeMaster[employee_id],tblEmployeeMaster[employee_name],""))</f>
        <v/>
      </c>
      <c r="D135" s="2">
        <f>IF($B135="","",XLOOKUP($B135,tblEmployeeMaster[employee_id],tblEmployeeMaster[department],""))</f>
        <v/>
      </c>
      <c r="E135" s="2">
        <f>IF($A135="","",INDEX(tblResourceInput[work_date],ROW()-1))</f>
        <v/>
      </c>
      <c r="F135" s="2">
        <f>IF($A135="","",INDEX(tblResourceInput[project_id],ROW()-1))</f>
        <v/>
      </c>
      <c r="G135" s="2">
        <f>IF($F135="","",XLOOKUP($F135,tblProjectMaster[project_id],tblProjectMaster[project_name],""))</f>
        <v/>
      </c>
      <c r="H135" s="2">
        <f>IF($A135="","",INDEX(tblResourceInput[task_name],ROW()-1))</f>
        <v/>
      </c>
      <c r="I135" s="2">
        <f>IF($A135="","",INDEX(tblResourceInput[planned_hours],ROW()-1))</f>
        <v/>
      </c>
      <c r="J135" s="2">
        <f>IF($B135="","",XLOOKUP($B135,tblEmployeeMaster[employee_id],tblEmployeeMaster[daily_capacity_hours],0))</f>
        <v/>
      </c>
      <c r="K135" s="2">
        <f>IF($B135="","",SUMIFS(tblResourceInput[planned_hours],tblResourceInput[employee_id],$B135,tblResourceInput[work_date],$E135))</f>
        <v/>
      </c>
      <c r="L135" s="5">
        <f>IFERROR($K135/$J135,0)</f>
        <v/>
      </c>
      <c r="M135" s="2">
        <f>IF($A135="","",IF($K135&gt;$J135,"OVER","OK"))</f>
        <v/>
      </c>
      <c r="N135" s="2">
        <f>IF($A135="","",MAX($J135-$K135,0))</f>
        <v/>
      </c>
      <c r="O135" s="5">
        <f>IF($F135="","",MAXIFS(tblProgressInput[progress_percent],tblProgressInput[project_id],$F135))</f>
        <v/>
      </c>
      <c r="P135" s="2">
        <f>IF($F135="","",XLOOKUP($F135,tblProgressInput[project_id],tblProgressInput[progress_status],"Not Started",0,-1))</f>
        <v/>
      </c>
      <c r="Q135" s="2">
        <f>IF($F135="","",XLOOKUP($F135,tblProgressInput[project_id],tblProgressInput[issue_flag],"",0,-1))</f>
        <v/>
      </c>
    </row>
    <row r="136">
      <c r="A136" s="2">
        <f>IFERROR(INDEX(tblResourceInput[entry_id],ROW()-1),"")</f>
        <v/>
      </c>
      <c r="B136" s="2">
        <f>IF($A136="","",INDEX(tblResourceInput[employee_id],ROW()-1))</f>
        <v/>
      </c>
      <c r="C136" s="2">
        <f>IF($B136="","",XLOOKUP($B136,tblEmployeeMaster[employee_id],tblEmployeeMaster[employee_name],""))</f>
        <v/>
      </c>
      <c r="D136" s="2">
        <f>IF($B136="","",XLOOKUP($B136,tblEmployeeMaster[employee_id],tblEmployeeMaster[department],""))</f>
        <v/>
      </c>
      <c r="E136" s="2">
        <f>IF($A136="","",INDEX(tblResourceInput[work_date],ROW()-1))</f>
        <v/>
      </c>
      <c r="F136" s="2">
        <f>IF($A136="","",INDEX(tblResourceInput[project_id],ROW()-1))</f>
        <v/>
      </c>
      <c r="G136" s="2">
        <f>IF($F136="","",XLOOKUP($F136,tblProjectMaster[project_id],tblProjectMaster[project_name],""))</f>
        <v/>
      </c>
      <c r="H136" s="2">
        <f>IF($A136="","",INDEX(tblResourceInput[task_name],ROW()-1))</f>
        <v/>
      </c>
      <c r="I136" s="2">
        <f>IF($A136="","",INDEX(tblResourceInput[planned_hours],ROW()-1))</f>
        <v/>
      </c>
      <c r="J136" s="2">
        <f>IF($B136="","",XLOOKUP($B136,tblEmployeeMaster[employee_id],tblEmployeeMaster[daily_capacity_hours],0))</f>
        <v/>
      </c>
      <c r="K136" s="2">
        <f>IF($B136="","",SUMIFS(tblResourceInput[planned_hours],tblResourceInput[employee_id],$B136,tblResourceInput[work_date],$E136))</f>
        <v/>
      </c>
      <c r="L136" s="5">
        <f>IFERROR($K136/$J136,0)</f>
        <v/>
      </c>
      <c r="M136" s="2">
        <f>IF($A136="","",IF($K136&gt;$J136,"OVER","OK"))</f>
        <v/>
      </c>
      <c r="N136" s="2">
        <f>IF($A136="","",MAX($J136-$K136,0))</f>
        <v/>
      </c>
      <c r="O136" s="5">
        <f>IF($F136="","",MAXIFS(tblProgressInput[progress_percent],tblProgressInput[project_id],$F136))</f>
        <v/>
      </c>
      <c r="P136" s="2">
        <f>IF($F136="","",XLOOKUP($F136,tblProgressInput[project_id],tblProgressInput[progress_status],"Not Started",0,-1))</f>
        <v/>
      </c>
      <c r="Q136" s="2">
        <f>IF($F136="","",XLOOKUP($F136,tblProgressInput[project_id],tblProgressInput[issue_flag],"",0,-1))</f>
        <v/>
      </c>
    </row>
    <row r="137">
      <c r="A137" s="2">
        <f>IFERROR(INDEX(tblResourceInput[entry_id],ROW()-1),"")</f>
        <v/>
      </c>
      <c r="B137" s="2">
        <f>IF($A137="","",INDEX(tblResourceInput[employee_id],ROW()-1))</f>
        <v/>
      </c>
      <c r="C137" s="2">
        <f>IF($B137="","",XLOOKUP($B137,tblEmployeeMaster[employee_id],tblEmployeeMaster[employee_name],""))</f>
        <v/>
      </c>
      <c r="D137" s="2">
        <f>IF($B137="","",XLOOKUP($B137,tblEmployeeMaster[employee_id],tblEmployeeMaster[department],""))</f>
        <v/>
      </c>
      <c r="E137" s="2">
        <f>IF($A137="","",INDEX(tblResourceInput[work_date],ROW()-1))</f>
        <v/>
      </c>
      <c r="F137" s="2">
        <f>IF($A137="","",INDEX(tblResourceInput[project_id],ROW()-1))</f>
        <v/>
      </c>
      <c r="G137" s="2">
        <f>IF($F137="","",XLOOKUP($F137,tblProjectMaster[project_id],tblProjectMaster[project_name],""))</f>
        <v/>
      </c>
      <c r="H137" s="2">
        <f>IF($A137="","",INDEX(tblResourceInput[task_name],ROW()-1))</f>
        <v/>
      </c>
      <c r="I137" s="2">
        <f>IF($A137="","",INDEX(tblResourceInput[planned_hours],ROW()-1))</f>
        <v/>
      </c>
      <c r="J137" s="2">
        <f>IF($B137="","",XLOOKUP($B137,tblEmployeeMaster[employee_id],tblEmployeeMaster[daily_capacity_hours],0))</f>
        <v/>
      </c>
      <c r="K137" s="2">
        <f>IF($B137="","",SUMIFS(tblResourceInput[planned_hours],tblResourceInput[employee_id],$B137,tblResourceInput[work_date],$E137))</f>
        <v/>
      </c>
      <c r="L137" s="5">
        <f>IFERROR($K137/$J137,0)</f>
        <v/>
      </c>
      <c r="M137" s="2">
        <f>IF($A137="","",IF($K137&gt;$J137,"OVER","OK"))</f>
        <v/>
      </c>
      <c r="N137" s="2">
        <f>IF($A137="","",MAX($J137-$K137,0))</f>
        <v/>
      </c>
      <c r="O137" s="5">
        <f>IF($F137="","",MAXIFS(tblProgressInput[progress_percent],tblProgressInput[project_id],$F137))</f>
        <v/>
      </c>
      <c r="P137" s="2">
        <f>IF($F137="","",XLOOKUP($F137,tblProgressInput[project_id],tblProgressInput[progress_status],"Not Started",0,-1))</f>
        <v/>
      </c>
      <c r="Q137" s="2">
        <f>IF($F137="","",XLOOKUP($F137,tblProgressInput[project_id],tblProgressInput[issue_flag],"",0,-1))</f>
        <v/>
      </c>
    </row>
    <row r="138">
      <c r="A138" s="2">
        <f>IFERROR(INDEX(tblResourceInput[entry_id],ROW()-1),"")</f>
        <v/>
      </c>
      <c r="B138" s="2">
        <f>IF($A138="","",INDEX(tblResourceInput[employee_id],ROW()-1))</f>
        <v/>
      </c>
      <c r="C138" s="2">
        <f>IF($B138="","",XLOOKUP($B138,tblEmployeeMaster[employee_id],tblEmployeeMaster[employee_name],""))</f>
        <v/>
      </c>
      <c r="D138" s="2">
        <f>IF($B138="","",XLOOKUP($B138,tblEmployeeMaster[employee_id],tblEmployeeMaster[department],""))</f>
        <v/>
      </c>
      <c r="E138" s="2">
        <f>IF($A138="","",INDEX(tblResourceInput[work_date],ROW()-1))</f>
        <v/>
      </c>
      <c r="F138" s="2">
        <f>IF($A138="","",INDEX(tblResourceInput[project_id],ROW()-1))</f>
        <v/>
      </c>
      <c r="G138" s="2">
        <f>IF($F138="","",XLOOKUP($F138,tblProjectMaster[project_id],tblProjectMaster[project_name],""))</f>
        <v/>
      </c>
      <c r="H138" s="2">
        <f>IF($A138="","",INDEX(tblResourceInput[task_name],ROW()-1))</f>
        <v/>
      </c>
      <c r="I138" s="2">
        <f>IF($A138="","",INDEX(tblResourceInput[planned_hours],ROW()-1))</f>
        <v/>
      </c>
      <c r="J138" s="2">
        <f>IF($B138="","",XLOOKUP($B138,tblEmployeeMaster[employee_id],tblEmployeeMaster[daily_capacity_hours],0))</f>
        <v/>
      </c>
      <c r="K138" s="2">
        <f>IF($B138="","",SUMIFS(tblResourceInput[planned_hours],tblResourceInput[employee_id],$B138,tblResourceInput[work_date],$E138))</f>
        <v/>
      </c>
      <c r="L138" s="5">
        <f>IFERROR($K138/$J138,0)</f>
        <v/>
      </c>
      <c r="M138" s="2">
        <f>IF($A138="","",IF($K138&gt;$J138,"OVER","OK"))</f>
        <v/>
      </c>
      <c r="N138" s="2">
        <f>IF($A138="","",MAX($J138-$K138,0))</f>
        <v/>
      </c>
      <c r="O138" s="5">
        <f>IF($F138="","",MAXIFS(tblProgressInput[progress_percent],tblProgressInput[project_id],$F138))</f>
        <v/>
      </c>
      <c r="P138" s="2">
        <f>IF($F138="","",XLOOKUP($F138,tblProgressInput[project_id],tblProgressInput[progress_status],"Not Started",0,-1))</f>
        <v/>
      </c>
      <c r="Q138" s="2">
        <f>IF($F138="","",XLOOKUP($F138,tblProgressInput[project_id],tblProgressInput[issue_flag],"",0,-1))</f>
        <v/>
      </c>
    </row>
    <row r="139">
      <c r="A139" s="2">
        <f>IFERROR(INDEX(tblResourceInput[entry_id],ROW()-1),"")</f>
        <v/>
      </c>
      <c r="B139" s="2">
        <f>IF($A139="","",INDEX(tblResourceInput[employee_id],ROW()-1))</f>
        <v/>
      </c>
      <c r="C139" s="2">
        <f>IF($B139="","",XLOOKUP($B139,tblEmployeeMaster[employee_id],tblEmployeeMaster[employee_name],""))</f>
        <v/>
      </c>
      <c r="D139" s="2">
        <f>IF($B139="","",XLOOKUP($B139,tblEmployeeMaster[employee_id],tblEmployeeMaster[department],""))</f>
        <v/>
      </c>
      <c r="E139" s="2">
        <f>IF($A139="","",INDEX(tblResourceInput[work_date],ROW()-1))</f>
        <v/>
      </c>
      <c r="F139" s="2">
        <f>IF($A139="","",INDEX(tblResourceInput[project_id],ROW()-1))</f>
        <v/>
      </c>
      <c r="G139" s="2">
        <f>IF($F139="","",XLOOKUP($F139,tblProjectMaster[project_id],tblProjectMaster[project_name],""))</f>
        <v/>
      </c>
      <c r="H139" s="2">
        <f>IF($A139="","",INDEX(tblResourceInput[task_name],ROW()-1))</f>
        <v/>
      </c>
      <c r="I139" s="2">
        <f>IF($A139="","",INDEX(tblResourceInput[planned_hours],ROW()-1))</f>
        <v/>
      </c>
      <c r="J139" s="2">
        <f>IF($B139="","",XLOOKUP($B139,tblEmployeeMaster[employee_id],tblEmployeeMaster[daily_capacity_hours],0))</f>
        <v/>
      </c>
      <c r="K139" s="2">
        <f>IF($B139="","",SUMIFS(tblResourceInput[planned_hours],tblResourceInput[employee_id],$B139,tblResourceInput[work_date],$E139))</f>
        <v/>
      </c>
      <c r="L139" s="5">
        <f>IFERROR($K139/$J139,0)</f>
        <v/>
      </c>
      <c r="M139" s="2">
        <f>IF($A139="","",IF($K139&gt;$J139,"OVER","OK"))</f>
        <v/>
      </c>
      <c r="N139" s="2">
        <f>IF($A139="","",MAX($J139-$K139,0))</f>
        <v/>
      </c>
      <c r="O139" s="5">
        <f>IF($F139="","",MAXIFS(tblProgressInput[progress_percent],tblProgressInput[project_id],$F139))</f>
        <v/>
      </c>
      <c r="P139" s="2">
        <f>IF($F139="","",XLOOKUP($F139,tblProgressInput[project_id],tblProgressInput[progress_status],"Not Started",0,-1))</f>
        <v/>
      </c>
      <c r="Q139" s="2">
        <f>IF($F139="","",XLOOKUP($F139,tblProgressInput[project_id],tblProgressInput[issue_flag],"",0,-1))</f>
        <v/>
      </c>
    </row>
    <row r="140">
      <c r="A140" s="2">
        <f>IFERROR(INDEX(tblResourceInput[entry_id],ROW()-1),"")</f>
        <v/>
      </c>
      <c r="B140" s="2">
        <f>IF($A140="","",INDEX(tblResourceInput[employee_id],ROW()-1))</f>
        <v/>
      </c>
      <c r="C140" s="2">
        <f>IF($B140="","",XLOOKUP($B140,tblEmployeeMaster[employee_id],tblEmployeeMaster[employee_name],""))</f>
        <v/>
      </c>
      <c r="D140" s="2">
        <f>IF($B140="","",XLOOKUP($B140,tblEmployeeMaster[employee_id],tblEmployeeMaster[department],""))</f>
        <v/>
      </c>
      <c r="E140" s="2">
        <f>IF($A140="","",INDEX(tblResourceInput[work_date],ROW()-1))</f>
        <v/>
      </c>
      <c r="F140" s="2">
        <f>IF($A140="","",INDEX(tblResourceInput[project_id],ROW()-1))</f>
        <v/>
      </c>
      <c r="G140" s="2">
        <f>IF($F140="","",XLOOKUP($F140,tblProjectMaster[project_id],tblProjectMaster[project_name],""))</f>
        <v/>
      </c>
      <c r="H140" s="2">
        <f>IF($A140="","",INDEX(tblResourceInput[task_name],ROW()-1))</f>
        <v/>
      </c>
      <c r="I140" s="2">
        <f>IF($A140="","",INDEX(tblResourceInput[planned_hours],ROW()-1))</f>
        <v/>
      </c>
      <c r="J140" s="2">
        <f>IF($B140="","",XLOOKUP($B140,tblEmployeeMaster[employee_id],tblEmployeeMaster[daily_capacity_hours],0))</f>
        <v/>
      </c>
      <c r="K140" s="2">
        <f>IF($B140="","",SUMIFS(tblResourceInput[planned_hours],tblResourceInput[employee_id],$B140,tblResourceInput[work_date],$E140))</f>
        <v/>
      </c>
      <c r="L140" s="5">
        <f>IFERROR($K140/$J140,0)</f>
        <v/>
      </c>
      <c r="M140" s="2">
        <f>IF($A140="","",IF($K140&gt;$J140,"OVER","OK"))</f>
        <v/>
      </c>
      <c r="N140" s="2">
        <f>IF($A140="","",MAX($J140-$K140,0))</f>
        <v/>
      </c>
      <c r="O140" s="5">
        <f>IF($F140="","",MAXIFS(tblProgressInput[progress_percent],tblProgressInput[project_id],$F140))</f>
        <v/>
      </c>
      <c r="P140" s="2">
        <f>IF($F140="","",XLOOKUP($F140,tblProgressInput[project_id],tblProgressInput[progress_status],"Not Started",0,-1))</f>
        <v/>
      </c>
      <c r="Q140" s="2">
        <f>IF($F140="","",XLOOKUP($F140,tblProgressInput[project_id],tblProgressInput[issue_flag],"",0,-1))</f>
        <v/>
      </c>
    </row>
    <row r="141">
      <c r="A141" s="2">
        <f>IFERROR(INDEX(tblResourceInput[entry_id],ROW()-1),"")</f>
        <v/>
      </c>
      <c r="B141" s="2">
        <f>IF($A141="","",INDEX(tblResourceInput[employee_id],ROW()-1))</f>
        <v/>
      </c>
      <c r="C141" s="2">
        <f>IF($B141="","",XLOOKUP($B141,tblEmployeeMaster[employee_id],tblEmployeeMaster[employee_name],""))</f>
        <v/>
      </c>
      <c r="D141" s="2">
        <f>IF($B141="","",XLOOKUP($B141,tblEmployeeMaster[employee_id],tblEmployeeMaster[department],""))</f>
        <v/>
      </c>
      <c r="E141" s="2">
        <f>IF($A141="","",INDEX(tblResourceInput[work_date],ROW()-1))</f>
        <v/>
      </c>
      <c r="F141" s="2">
        <f>IF($A141="","",INDEX(tblResourceInput[project_id],ROW()-1))</f>
        <v/>
      </c>
      <c r="G141" s="2">
        <f>IF($F141="","",XLOOKUP($F141,tblProjectMaster[project_id],tblProjectMaster[project_name],""))</f>
        <v/>
      </c>
      <c r="H141" s="2">
        <f>IF($A141="","",INDEX(tblResourceInput[task_name],ROW()-1))</f>
        <v/>
      </c>
      <c r="I141" s="2">
        <f>IF($A141="","",INDEX(tblResourceInput[planned_hours],ROW()-1))</f>
        <v/>
      </c>
      <c r="J141" s="2">
        <f>IF($B141="","",XLOOKUP($B141,tblEmployeeMaster[employee_id],tblEmployeeMaster[daily_capacity_hours],0))</f>
        <v/>
      </c>
      <c r="K141" s="2">
        <f>IF($B141="","",SUMIFS(tblResourceInput[planned_hours],tblResourceInput[employee_id],$B141,tblResourceInput[work_date],$E141))</f>
        <v/>
      </c>
      <c r="L141" s="5">
        <f>IFERROR($K141/$J141,0)</f>
        <v/>
      </c>
      <c r="M141" s="2">
        <f>IF($A141="","",IF($K141&gt;$J141,"OVER","OK"))</f>
        <v/>
      </c>
      <c r="N141" s="2">
        <f>IF($A141="","",MAX($J141-$K141,0))</f>
        <v/>
      </c>
      <c r="O141" s="5">
        <f>IF($F141="","",MAXIFS(tblProgressInput[progress_percent],tblProgressInput[project_id],$F141))</f>
        <v/>
      </c>
      <c r="P141" s="2">
        <f>IF($F141="","",XLOOKUP($F141,tblProgressInput[project_id],tblProgressInput[progress_status],"Not Started",0,-1))</f>
        <v/>
      </c>
      <c r="Q141" s="2">
        <f>IF($F141="","",XLOOKUP($F141,tblProgressInput[project_id],tblProgressInput[issue_flag],"",0,-1))</f>
        <v/>
      </c>
    </row>
    <row r="142">
      <c r="A142" s="2">
        <f>IFERROR(INDEX(tblResourceInput[entry_id],ROW()-1),"")</f>
        <v/>
      </c>
      <c r="B142" s="2">
        <f>IF($A142="","",INDEX(tblResourceInput[employee_id],ROW()-1))</f>
        <v/>
      </c>
      <c r="C142" s="2">
        <f>IF($B142="","",XLOOKUP($B142,tblEmployeeMaster[employee_id],tblEmployeeMaster[employee_name],""))</f>
        <v/>
      </c>
      <c r="D142" s="2">
        <f>IF($B142="","",XLOOKUP($B142,tblEmployeeMaster[employee_id],tblEmployeeMaster[department],""))</f>
        <v/>
      </c>
      <c r="E142" s="2">
        <f>IF($A142="","",INDEX(tblResourceInput[work_date],ROW()-1))</f>
        <v/>
      </c>
      <c r="F142" s="2">
        <f>IF($A142="","",INDEX(tblResourceInput[project_id],ROW()-1))</f>
        <v/>
      </c>
      <c r="G142" s="2">
        <f>IF($F142="","",XLOOKUP($F142,tblProjectMaster[project_id],tblProjectMaster[project_name],""))</f>
        <v/>
      </c>
      <c r="H142" s="2">
        <f>IF($A142="","",INDEX(tblResourceInput[task_name],ROW()-1))</f>
        <v/>
      </c>
      <c r="I142" s="2">
        <f>IF($A142="","",INDEX(tblResourceInput[planned_hours],ROW()-1))</f>
        <v/>
      </c>
      <c r="J142" s="2">
        <f>IF($B142="","",XLOOKUP($B142,tblEmployeeMaster[employee_id],tblEmployeeMaster[daily_capacity_hours],0))</f>
        <v/>
      </c>
      <c r="K142" s="2">
        <f>IF($B142="","",SUMIFS(tblResourceInput[planned_hours],tblResourceInput[employee_id],$B142,tblResourceInput[work_date],$E142))</f>
        <v/>
      </c>
      <c r="L142" s="5">
        <f>IFERROR($K142/$J142,0)</f>
        <v/>
      </c>
      <c r="M142" s="2">
        <f>IF($A142="","",IF($K142&gt;$J142,"OVER","OK"))</f>
        <v/>
      </c>
      <c r="N142" s="2">
        <f>IF($A142="","",MAX($J142-$K142,0))</f>
        <v/>
      </c>
      <c r="O142" s="5">
        <f>IF($F142="","",MAXIFS(tblProgressInput[progress_percent],tblProgressInput[project_id],$F142))</f>
        <v/>
      </c>
      <c r="P142" s="2">
        <f>IF($F142="","",XLOOKUP($F142,tblProgressInput[project_id],tblProgressInput[progress_status],"Not Started",0,-1))</f>
        <v/>
      </c>
      <c r="Q142" s="2">
        <f>IF($F142="","",XLOOKUP($F142,tblProgressInput[project_id],tblProgressInput[issue_flag],"",0,-1))</f>
        <v/>
      </c>
    </row>
    <row r="143">
      <c r="A143" s="2">
        <f>IFERROR(INDEX(tblResourceInput[entry_id],ROW()-1),"")</f>
        <v/>
      </c>
      <c r="B143" s="2">
        <f>IF($A143="","",INDEX(tblResourceInput[employee_id],ROW()-1))</f>
        <v/>
      </c>
      <c r="C143" s="2">
        <f>IF($B143="","",XLOOKUP($B143,tblEmployeeMaster[employee_id],tblEmployeeMaster[employee_name],""))</f>
        <v/>
      </c>
      <c r="D143" s="2">
        <f>IF($B143="","",XLOOKUP($B143,tblEmployeeMaster[employee_id],tblEmployeeMaster[department],""))</f>
        <v/>
      </c>
      <c r="E143" s="2">
        <f>IF($A143="","",INDEX(tblResourceInput[work_date],ROW()-1))</f>
        <v/>
      </c>
      <c r="F143" s="2">
        <f>IF($A143="","",INDEX(tblResourceInput[project_id],ROW()-1))</f>
        <v/>
      </c>
      <c r="G143" s="2">
        <f>IF($F143="","",XLOOKUP($F143,tblProjectMaster[project_id],tblProjectMaster[project_name],""))</f>
        <v/>
      </c>
      <c r="H143" s="2">
        <f>IF($A143="","",INDEX(tblResourceInput[task_name],ROW()-1))</f>
        <v/>
      </c>
      <c r="I143" s="2">
        <f>IF($A143="","",INDEX(tblResourceInput[planned_hours],ROW()-1))</f>
        <v/>
      </c>
      <c r="J143" s="2">
        <f>IF($B143="","",XLOOKUP($B143,tblEmployeeMaster[employee_id],tblEmployeeMaster[daily_capacity_hours],0))</f>
        <v/>
      </c>
      <c r="K143" s="2">
        <f>IF($B143="","",SUMIFS(tblResourceInput[planned_hours],tblResourceInput[employee_id],$B143,tblResourceInput[work_date],$E143))</f>
        <v/>
      </c>
      <c r="L143" s="5">
        <f>IFERROR($K143/$J143,0)</f>
        <v/>
      </c>
      <c r="M143" s="2">
        <f>IF($A143="","",IF($K143&gt;$J143,"OVER","OK"))</f>
        <v/>
      </c>
      <c r="N143" s="2">
        <f>IF($A143="","",MAX($J143-$K143,0))</f>
        <v/>
      </c>
      <c r="O143" s="5">
        <f>IF($F143="","",MAXIFS(tblProgressInput[progress_percent],tblProgressInput[project_id],$F143))</f>
        <v/>
      </c>
      <c r="P143" s="2">
        <f>IF($F143="","",XLOOKUP($F143,tblProgressInput[project_id],tblProgressInput[progress_status],"Not Started",0,-1))</f>
        <v/>
      </c>
      <c r="Q143" s="2">
        <f>IF($F143="","",XLOOKUP($F143,tblProgressInput[project_id],tblProgressInput[issue_flag],"",0,-1))</f>
        <v/>
      </c>
    </row>
    <row r="144">
      <c r="A144" s="2">
        <f>IFERROR(INDEX(tblResourceInput[entry_id],ROW()-1),"")</f>
        <v/>
      </c>
      <c r="B144" s="2">
        <f>IF($A144="","",INDEX(tblResourceInput[employee_id],ROW()-1))</f>
        <v/>
      </c>
      <c r="C144" s="2">
        <f>IF($B144="","",XLOOKUP($B144,tblEmployeeMaster[employee_id],tblEmployeeMaster[employee_name],""))</f>
        <v/>
      </c>
      <c r="D144" s="2">
        <f>IF($B144="","",XLOOKUP($B144,tblEmployeeMaster[employee_id],tblEmployeeMaster[department],""))</f>
        <v/>
      </c>
      <c r="E144" s="2">
        <f>IF($A144="","",INDEX(tblResourceInput[work_date],ROW()-1))</f>
        <v/>
      </c>
      <c r="F144" s="2">
        <f>IF($A144="","",INDEX(tblResourceInput[project_id],ROW()-1))</f>
        <v/>
      </c>
      <c r="G144" s="2">
        <f>IF($F144="","",XLOOKUP($F144,tblProjectMaster[project_id],tblProjectMaster[project_name],""))</f>
        <v/>
      </c>
      <c r="H144" s="2">
        <f>IF($A144="","",INDEX(tblResourceInput[task_name],ROW()-1))</f>
        <v/>
      </c>
      <c r="I144" s="2">
        <f>IF($A144="","",INDEX(tblResourceInput[planned_hours],ROW()-1))</f>
        <v/>
      </c>
      <c r="J144" s="2">
        <f>IF($B144="","",XLOOKUP($B144,tblEmployeeMaster[employee_id],tblEmployeeMaster[daily_capacity_hours],0))</f>
        <v/>
      </c>
      <c r="K144" s="2">
        <f>IF($B144="","",SUMIFS(tblResourceInput[planned_hours],tblResourceInput[employee_id],$B144,tblResourceInput[work_date],$E144))</f>
        <v/>
      </c>
      <c r="L144" s="5">
        <f>IFERROR($K144/$J144,0)</f>
        <v/>
      </c>
      <c r="M144" s="2">
        <f>IF($A144="","",IF($K144&gt;$J144,"OVER","OK"))</f>
        <v/>
      </c>
      <c r="N144" s="2">
        <f>IF($A144="","",MAX($J144-$K144,0))</f>
        <v/>
      </c>
      <c r="O144" s="5">
        <f>IF($F144="","",MAXIFS(tblProgressInput[progress_percent],tblProgressInput[project_id],$F144))</f>
        <v/>
      </c>
      <c r="P144" s="2">
        <f>IF($F144="","",XLOOKUP($F144,tblProgressInput[project_id],tblProgressInput[progress_status],"Not Started",0,-1))</f>
        <v/>
      </c>
      <c r="Q144" s="2">
        <f>IF($F144="","",XLOOKUP($F144,tblProgressInput[project_id],tblProgressInput[issue_flag],"",0,-1))</f>
        <v/>
      </c>
    </row>
    <row r="145">
      <c r="A145" s="2">
        <f>IFERROR(INDEX(tblResourceInput[entry_id],ROW()-1),"")</f>
        <v/>
      </c>
      <c r="B145" s="2">
        <f>IF($A145="","",INDEX(tblResourceInput[employee_id],ROW()-1))</f>
        <v/>
      </c>
      <c r="C145" s="2">
        <f>IF($B145="","",XLOOKUP($B145,tblEmployeeMaster[employee_id],tblEmployeeMaster[employee_name],""))</f>
        <v/>
      </c>
      <c r="D145" s="2">
        <f>IF($B145="","",XLOOKUP($B145,tblEmployeeMaster[employee_id],tblEmployeeMaster[department],""))</f>
        <v/>
      </c>
      <c r="E145" s="2">
        <f>IF($A145="","",INDEX(tblResourceInput[work_date],ROW()-1))</f>
        <v/>
      </c>
      <c r="F145" s="2">
        <f>IF($A145="","",INDEX(tblResourceInput[project_id],ROW()-1))</f>
        <v/>
      </c>
      <c r="G145" s="2">
        <f>IF($F145="","",XLOOKUP($F145,tblProjectMaster[project_id],tblProjectMaster[project_name],""))</f>
        <v/>
      </c>
      <c r="H145" s="2">
        <f>IF($A145="","",INDEX(tblResourceInput[task_name],ROW()-1))</f>
        <v/>
      </c>
      <c r="I145" s="2">
        <f>IF($A145="","",INDEX(tblResourceInput[planned_hours],ROW()-1))</f>
        <v/>
      </c>
      <c r="J145" s="2">
        <f>IF($B145="","",XLOOKUP($B145,tblEmployeeMaster[employee_id],tblEmployeeMaster[daily_capacity_hours],0))</f>
        <v/>
      </c>
      <c r="K145" s="2">
        <f>IF($B145="","",SUMIFS(tblResourceInput[planned_hours],tblResourceInput[employee_id],$B145,tblResourceInput[work_date],$E145))</f>
        <v/>
      </c>
      <c r="L145" s="5">
        <f>IFERROR($K145/$J145,0)</f>
        <v/>
      </c>
      <c r="M145" s="2">
        <f>IF($A145="","",IF($K145&gt;$J145,"OVER","OK"))</f>
        <v/>
      </c>
      <c r="N145" s="2">
        <f>IF($A145="","",MAX($J145-$K145,0))</f>
        <v/>
      </c>
      <c r="O145" s="5">
        <f>IF($F145="","",MAXIFS(tblProgressInput[progress_percent],tblProgressInput[project_id],$F145))</f>
        <v/>
      </c>
      <c r="P145" s="2">
        <f>IF($F145="","",XLOOKUP($F145,tblProgressInput[project_id],tblProgressInput[progress_status],"Not Started",0,-1))</f>
        <v/>
      </c>
      <c r="Q145" s="2">
        <f>IF($F145="","",XLOOKUP($F145,tblProgressInput[project_id],tblProgressInput[issue_flag],"",0,-1))</f>
        <v/>
      </c>
    </row>
    <row r="146">
      <c r="A146" s="2">
        <f>IFERROR(INDEX(tblResourceInput[entry_id],ROW()-1),"")</f>
        <v/>
      </c>
      <c r="B146" s="2">
        <f>IF($A146="","",INDEX(tblResourceInput[employee_id],ROW()-1))</f>
        <v/>
      </c>
      <c r="C146" s="2">
        <f>IF($B146="","",XLOOKUP($B146,tblEmployeeMaster[employee_id],tblEmployeeMaster[employee_name],""))</f>
        <v/>
      </c>
      <c r="D146" s="2">
        <f>IF($B146="","",XLOOKUP($B146,tblEmployeeMaster[employee_id],tblEmployeeMaster[department],""))</f>
        <v/>
      </c>
      <c r="E146" s="2">
        <f>IF($A146="","",INDEX(tblResourceInput[work_date],ROW()-1))</f>
        <v/>
      </c>
      <c r="F146" s="2">
        <f>IF($A146="","",INDEX(tblResourceInput[project_id],ROW()-1))</f>
        <v/>
      </c>
      <c r="G146" s="2">
        <f>IF($F146="","",XLOOKUP($F146,tblProjectMaster[project_id],tblProjectMaster[project_name],""))</f>
        <v/>
      </c>
      <c r="H146" s="2">
        <f>IF($A146="","",INDEX(tblResourceInput[task_name],ROW()-1))</f>
        <v/>
      </c>
      <c r="I146" s="2">
        <f>IF($A146="","",INDEX(tblResourceInput[planned_hours],ROW()-1))</f>
        <v/>
      </c>
      <c r="J146" s="2">
        <f>IF($B146="","",XLOOKUP($B146,tblEmployeeMaster[employee_id],tblEmployeeMaster[daily_capacity_hours],0))</f>
        <v/>
      </c>
      <c r="K146" s="2">
        <f>IF($B146="","",SUMIFS(tblResourceInput[planned_hours],tblResourceInput[employee_id],$B146,tblResourceInput[work_date],$E146))</f>
        <v/>
      </c>
      <c r="L146" s="5">
        <f>IFERROR($K146/$J146,0)</f>
        <v/>
      </c>
      <c r="M146" s="2">
        <f>IF($A146="","",IF($K146&gt;$J146,"OVER","OK"))</f>
        <v/>
      </c>
      <c r="N146" s="2">
        <f>IF($A146="","",MAX($J146-$K146,0))</f>
        <v/>
      </c>
      <c r="O146" s="5">
        <f>IF($F146="","",MAXIFS(tblProgressInput[progress_percent],tblProgressInput[project_id],$F146))</f>
        <v/>
      </c>
      <c r="P146" s="2">
        <f>IF($F146="","",XLOOKUP($F146,tblProgressInput[project_id],tblProgressInput[progress_status],"Not Started",0,-1))</f>
        <v/>
      </c>
      <c r="Q146" s="2">
        <f>IF($F146="","",XLOOKUP($F146,tblProgressInput[project_id],tblProgressInput[issue_flag],"",0,-1))</f>
        <v/>
      </c>
    </row>
    <row r="147">
      <c r="A147" s="2">
        <f>IFERROR(INDEX(tblResourceInput[entry_id],ROW()-1),"")</f>
        <v/>
      </c>
      <c r="B147" s="2">
        <f>IF($A147="","",INDEX(tblResourceInput[employee_id],ROW()-1))</f>
        <v/>
      </c>
      <c r="C147" s="2">
        <f>IF($B147="","",XLOOKUP($B147,tblEmployeeMaster[employee_id],tblEmployeeMaster[employee_name],""))</f>
        <v/>
      </c>
      <c r="D147" s="2">
        <f>IF($B147="","",XLOOKUP($B147,tblEmployeeMaster[employee_id],tblEmployeeMaster[department],""))</f>
        <v/>
      </c>
      <c r="E147" s="2">
        <f>IF($A147="","",INDEX(tblResourceInput[work_date],ROW()-1))</f>
        <v/>
      </c>
      <c r="F147" s="2">
        <f>IF($A147="","",INDEX(tblResourceInput[project_id],ROW()-1))</f>
        <v/>
      </c>
      <c r="G147" s="2">
        <f>IF($F147="","",XLOOKUP($F147,tblProjectMaster[project_id],tblProjectMaster[project_name],""))</f>
        <v/>
      </c>
      <c r="H147" s="2">
        <f>IF($A147="","",INDEX(tblResourceInput[task_name],ROW()-1))</f>
        <v/>
      </c>
      <c r="I147" s="2">
        <f>IF($A147="","",INDEX(tblResourceInput[planned_hours],ROW()-1))</f>
        <v/>
      </c>
      <c r="J147" s="2">
        <f>IF($B147="","",XLOOKUP($B147,tblEmployeeMaster[employee_id],tblEmployeeMaster[daily_capacity_hours],0))</f>
        <v/>
      </c>
      <c r="K147" s="2">
        <f>IF($B147="","",SUMIFS(tblResourceInput[planned_hours],tblResourceInput[employee_id],$B147,tblResourceInput[work_date],$E147))</f>
        <v/>
      </c>
      <c r="L147" s="5">
        <f>IFERROR($K147/$J147,0)</f>
        <v/>
      </c>
      <c r="M147" s="2">
        <f>IF($A147="","",IF($K147&gt;$J147,"OVER","OK"))</f>
        <v/>
      </c>
      <c r="N147" s="2">
        <f>IF($A147="","",MAX($J147-$K147,0))</f>
        <v/>
      </c>
      <c r="O147" s="5">
        <f>IF($F147="","",MAXIFS(tblProgressInput[progress_percent],tblProgressInput[project_id],$F147))</f>
        <v/>
      </c>
      <c r="P147" s="2">
        <f>IF($F147="","",XLOOKUP($F147,tblProgressInput[project_id],tblProgressInput[progress_status],"Not Started",0,-1))</f>
        <v/>
      </c>
      <c r="Q147" s="2">
        <f>IF($F147="","",XLOOKUP($F147,tblProgressInput[project_id],tblProgressInput[issue_flag],"",0,-1))</f>
        <v/>
      </c>
    </row>
    <row r="148">
      <c r="A148" s="2">
        <f>IFERROR(INDEX(tblResourceInput[entry_id],ROW()-1),"")</f>
        <v/>
      </c>
      <c r="B148" s="2">
        <f>IF($A148="","",INDEX(tblResourceInput[employee_id],ROW()-1))</f>
        <v/>
      </c>
      <c r="C148" s="2">
        <f>IF($B148="","",XLOOKUP($B148,tblEmployeeMaster[employee_id],tblEmployeeMaster[employee_name],""))</f>
        <v/>
      </c>
      <c r="D148" s="2">
        <f>IF($B148="","",XLOOKUP($B148,tblEmployeeMaster[employee_id],tblEmployeeMaster[department],""))</f>
        <v/>
      </c>
      <c r="E148" s="2">
        <f>IF($A148="","",INDEX(tblResourceInput[work_date],ROW()-1))</f>
        <v/>
      </c>
      <c r="F148" s="2">
        <f>IF($A148="","",INDEX(tblResourceInput[project_id],ROW()-1))</f>
        <v/>
      </c>
      <c r="G148" s="2">
        <f>IF($F148="","",XLOOKUP($F148,tblProjectMaster[project_id],tblProjectMaster[project_name],""))</f>
        <v/>
      </c>
      <c r="H148" s="2">
        <f>IF($A148="","",INDEX(tblResourceInput[task_name],ROW()-1))</f>
        <v/>
      </c>
      <c r="I148" s="2">
        <f>IF($A148="","",INDEX(tblResourceInput[planned_hours],ROW()-1))</f>
        <v/>
      </c>
      <c r="J148" s="2">
        <f>IF($B148="","",XLOOKUP($B148,tblEmployeeMaster[employee_id],tblEmployeeMaster[daily_capacity_hours],0))</f>
        <v/>
      </c>
      <c r="K148" s="2">
        <f>IF($B148="","",SUMIFS(tblResourceInput[planned_hours],tblResourceInput[employee_id],$B148,tblResourceInput[work_date],$E148))</f>
        <v/>
      </c>
      <c r="L148" s="5">
        <f>IFERROR($K148/$J148,0)</f>
        <v/>
      </c>
      <c r="M148" s="2">
        <f>IF($A148="","",IF($K148&gt;$J148,"OVER","OK"))</f>
        <v/>
      </c>
      <c r="N148" s="2">
        <f>IF($A148="","",MAX($J148-$K148,0))</f>
        <v/>
      </c>
      <c r="O148" s="5">
        <f>IF($F148="","",MAXIFS(tblProgressInput[progress_percent],tblProgressInput[project_id],$F148))</f>
        <v/>
      </c>
      <c r="P148" s="2">
        <f>IF($F148="","",XLOOKUP($F148,tblProgressInput[project_id],tblProgressInput[progress_status],"Not Started",0,-1))</f>
        <v/>
      </c>
      <c r="Q148" s="2">
        <f>IF($F148="","",XLOOKUP($F148,tblProgressInput[project_id],tblProgressInput[issue_flag],"",0,-1))</f>
        <v/>
      </c>
    </row>
    <row r="149">
      <c r="A149" s="2">
        <f>IFERROR(INDEX(tblResourceInput[entry_id],ROW()-1),"")</f>
        <v/>
      </c>
      <c r="B149" s="2">
        <f>IF($A149="","",INDEX(tblResourceInput[employee_id],ROW()-1))</f>
        <v/>
      </c>
      <c r="C149" s="2">
        <f>IF($B149="","",XLOOKUP($B149,tblEmployeeMaster[employee_id],tblEmployeeMaster[employee_name],""))</f>
        <v/>
      </c>
      <c r="D149" s="2">
        <f>IF($B149="","",XLOOKUP($B149,tblEmployeeMaster[employee_id],tblEmployeeMaster[department],""))</f>
        <v/>
      </c>
      <c r="E149" s="2">
        <f>IF($A149="","",INDEX(tblResourceInput[work_date],ROW()-1))</f>
        <v/>
      </c>
      <c r="F149" s="2">
        <f>IF($A149="","",INDEX(tblResourceInput[project_id],ROW()-1))</f>
        <v/>
      </c>
      <c r="G149" s="2">
        <f>IF($F149="","",XLOOKUP($F149,tblProjectMaster[project_id],tblProjectMaster[project_name],""))</f>
        <v/>
      </c>
      <c r="H149" s="2">
        <f>IF($A149="","",INDEX(tblResourceInput[task_name],ROW()-1))</f>
        <v/>
      </c>
      <c r="I149" s="2">
        <f>IF($A149="","",INDEX(tblResourceInput[planned_hours],ROW()-1))</f>
        <v/>
      </c>
      <c r="J149" s="2">
        <f>IF($B149="","",XLOOKUP($B149,tblEmployeeMaster[employee_id],tblEmployeeMaster[daily_capacity_hours],0))</f>
        <v/>
      </c>
      <c r="K149" s="2">
        <f>IF($B149="","",SUMIFS(tblResourceInput[planned_hours],tblResourceInput[employee_id],$B149,tblResourceInput[work_date],$E149))</f>
        <v/>
      </c>
      <c r="L149" s="5">
        <f>IFERROR($K149/$J149,0)</f>
        <v/>
      </c>
      <c r="M149" s="2">
        <f>IF($A149="","",IF($K149&gt;$J149,"OVER","OK"))</f>
        <v/>
      </c>
      <c r="N149" s="2">
        <f>IF($A149="","",MAX($J149-$K149,0))</f>
        <v/>
      </c>
      <c r="O149" s="5">
        <f>IF($F149="","",MAXIFS(tblProgressInput[progress_percent],tblProgressInput[project_id],$F149))</f>
        <v/>
      </c>
      <c r="P149" s="2">
        <f>IF($F149="","",XLOOKUP($F149,tblProgressInput[project_id],tblProgressInput[progress_status],"Not Started",0,-1))</f>
        <v/>
      </c>
      <c r="Q149" s="2">
        <f>IF($F149="","",XLOOKUP($F149,tblProgressInput[project_id],tblProgressInput[issue_flag],"",0,-1))</f>
        <v/>
      </c>
    </row>
    <row r="150">
      <c r="A150" s="2">
        <f>IFERROR(INDEX(tblResourceInput[entry_id],ROW()-1),"")</f>
        <v/>
      </c>
      <c r="B150" s="2">
        <f>IF($A150="","",INDEX(tblResourceInput[employee_id],ROW()-1))</f>
        <v/>
      </c>
      <c r="C150" s="2">
        <f>IF($B150="","",XLOOKUP($B150,tblEmployeeMaster[employee_id],tblEmployeeMaster[employee_name],""))</f>
        <v/>
      </c>
      <c r="D150" s="2">
        <f>IF($B150="","",XLOOKUP($B150,tblEmployeeMaster[employee_id],tblEmployeeMaster[department],""))</f>
        <v/>
      </c>
      <c r="E150" s="2">
        <f>IF($A150="","",INDEX(tblResourceInput[work_date],ROW()-1))</f>
        <v/>
      </c>
      <c r="F150" s="2">
        <f>IF($A150="","",INDEX(tblResourceInput[project_id],ROW()-1))</f>
        <v/>
      </c>
      <c r="G150" s="2">
        <f>IF($F150="","",XLOOKUP($F150,tblProjectMaster[project_id],tblProjectMaster[project_name],""))</f>
        <v/>
      </c>
      <c r="H150" s="2">
        <f>IF($A150="","",INDEX(tblResourceInput[task_name],ROW()-1))</f>
        <v/>
      </c>
      <c r="I150" s="2">
        <f>IF($A150="","",INDEX(tblResourceInput[planned_hours],ROW()-1))</f>
        <v/>
      </c>
      <c r="J150" s="2">
        <f>IF($B150="","",XLOOKUP($B150,tblEmployeeMaster[employee_id],tblEmployeeMaster[daily_capacity_hours],0))</f>
        <v/>
      </c>
      <c r="K150" s="2">
        <f>IF($B150="","",SUMIFS(tblResourceInput[planned_hours],tblResourceInput[employee_id],$B150,tblResourceInput[work_date],$E150))</f>
        <v/>
      </c>
      <c r="L150" s="5">
        <f>IFERROR($K150/$J150,0)</f>
        <v/>
      </c>
      <c r="M150" s="2">
        <f>IF($A150="","",IF($K150&gt;$J150,"OVER","OK"))</f>
        <v/>
      </c>
      <c r="N150" s="2">
        <f>IF($A150="","",MAX($J150-$K150,0))</f>
        <v/>
      </c>
      <c r="O150" s="5">
        <f>IF($F150="","",MAXIFS(tblProgressInput[progress_percent],tblProgressInput[project_id],$F150))</f>
        <v/>
      </c>
      <c r="P150" s="2">
        <f>IF($F150="","",XLOOKUP($F150,tblProgressInput[project_id],tblProgressInput[progress_status],"Not Started",0,-1))</f>
        <v/>
      </c>
      <c r="Q150" s="2">
        <f>IF($F150="","",XLOOKUP($F150,tblProgressInput[project_id],tblProgressInput[issue_flag],"",0,-1))</f>
        <v/>
      </c>
    </row>
    <row r="151">
      <c r="A151" s="2">
        <f>IFERROR(INDEX(tblResourceInput[entry_id],ROW()-1),"")</f>
        <v/>
      </c>
      <c r="B151" s="2">
        <f>IF($A151="","",INDEX(tblResourceInput[employee_id],ROW()-1))</f>
        <v/>
      </c>
      <c r="C151" s="2">
        <f>IF($B151="","",XLOOKUP($B151,tblEmployeeMaster[employee_id],tblEmployeeMaster[employee_name],""))</f>
        <v/>
      </c>
      <c r="D151" s="2">
        <f>IF($B151="","",XLOOKUP($B151,tblEmployeeMaster[employee_id],tblEmployeeMaster[department],""))</f>
        <v/>
      </c>
      <c r="E151" s="2">
        <f>IF($A151="","",INDEX(tblResourceInput[work_date],ROW()-1))</f>
        <v/>
      </c>
      <c r="F151" s="2">
        <f>IF($A151="","",INDEX(tblResourceInput[project_id],ROW()-1))</f>
        <v/>
      </c>
      <c r="G151" s="2">
        <f>IF($F151="","",XLOOKUP($F151,tblProjectMaster[project_id],tblProjectMaster[project_name],""))</f>
        <v/>
      </c>
      <c r="H151" s="2">
        <f>IF($A151="","",INDEX(tblResourceInput[task_name],ROW()-1))</f>
        <v/>
      </c>
      <c r="I151" s="2">
        <f>IF($A151="","",INDEX(tblResourceInput[planned_hours],ROW()-1))</f>
        <v/>
      </c>
      <c r="J151" s="2">
        <f>IF($B151="","",XLOOKUP($B151,tblEmployeeMaster[employee_id],tblEmployeeMaster[daily_capacity_hours],0))</f>
        <v/>
      </c>
      <c r="K151" s="2">
        <f>IF($B151="","",SUMIFS(tblResourceInput[planned_hours],tblResourceInput[employee_id],$B151,tblResourceInput[work_date],$E151))</f>
        <v/>
      </c>
      <c r="L151" s="5">
        <f>IFERROR($K151/$J151,0)</f>
        <v/>
      </c>
      <c r="M151" s="2">
        <f>IF($A151="","",IF($K151&gt;$J151,"OVER","OK"))</f>
        <v/>
      </c>
      <c r="N151" s="2">
        <f>IF($A151="","",MAX($J151-$K151,0))</f>
        <v/>
      </c>
      <c r="O151" s="5">
        <f>IF($F151="","",MAXIFS(tblProgressInput[progress_percent],tblProgressInput[project_id],$F151))</f>
        <v/>
      </c>
      <c r="P151" s="2">
        <f>IF($F151="","",XLOOKUP($F151,tblProgressInput[project_id],tblProgressInput[progress_status],"Not Started",0,-1))</f>
        <v/>
      </c>
      <c r="Q151" s="2">
        <f>IF($F151="","",XLOOKUP($F151,tblProgressInput[project_id],tblProgressInput[issue_flag],"",0,-1))</f>
        <v/>
      </c>
    </row>
    <row r="152">
      <c r="A152" s="2">
        <f>IFERROR(INDEX(tblResourceInput[entry_id],ROW()-1),"")</f>
        <v/>
      </c>
      <c r="B152" s="2">
        <f>IF($A152="","",INDEX(tblResourceInput[employee_id],ROW()-1))</f>
        <v/>
      </c>
      <c r="C152" s="2">
        <f>IF($B152="","",XLOOKUP($B152,tblEmployeeMaster[employee_id],tblEmployeeMaster[employee_name],""))</f>
        <v/>
      </c>
      <c r="D152" s="2">
        <f>IF($B152="","",XLOOKUP($B152,tblEmployeeMaster[employee_id],tblEmployeeMaster[department],""))</f>
        <v/>
      </c>
      <c r="E152" s="2">
        <f>IF($A152="","",INDEX(tblResourceInput[work_date],ROW()-1))</f>
        <v/>
      </c>
      <c r="F152" s="2">
        <f>IF($A152="","",INDEX(tblResourceInput[project_id],ROW()-1))</f>
        <v/>
      </c>
      <c r="G152" s="2">
        <f>IF($F152="","",XLOOKUP($F152,tblProjectMaster[project_id],tblProjectMaster[project_name],""))</f>
        <v/>
      </c>
      <c r="H152" s="2">
        <f>IF($A152="","",INDEX(tblResourceInput[task_name],ROW()-1))</f>
        <v/>
      </c>
      <c r="I152" s="2">
        <f>IF($A152="","",INDEX(tblResourceInput[planned_hours],ROW()-1))</f>
        <v/>
      </c>
      <c r="J152" s="2">
        <f>IF($B152="","",XLOOKUP($B152,tblEmployeeMaster[employee_id],tblEmployeeMaster[daily_capacity_hours],0))</f>
        <v/>
      </c>
      <c r="K152" s="2">
        <f>IF($B152="","",SUMIFS(tblResourceInput[planned_hours],tblResourceInput[employee_id],$B152,tblResourceInput[work_date],$E152))</f>
        <v/>
      </c>
      <c r="L152" s="5">
        <f>IFERROR($K152/$J152,0)</f>
        <v/>
      </c>
      <c r="M152" s="2">
        <f>IF($A152="","",IF($K152&gt;$J152,"OVER","OK"))</f>
        <v/>
      </c>
      <c r="N152" s="2">
        <f>IF($A152="","",MAX($J152-$K152,0))</f>
        <v/>
      </c>
      <c r="O152" s="5">
        <f>IF($F152="","",MAXIFS(tblProgressInput[progress_percent],tblProgressInput[project_id],$F152))</f>
        <v/>
      </c>
      <c r="P152" s="2">
        <f>IF($F152="","",XLOOKUP($F152,tblProgressInput[project_id],tblProgressInput[progress_status],"Not Started",0,-1))</f>
        <v/>
      </c>
      <c r="Q152" s="2">
        <f>IF($F152="","",XLOOKUP($F152,tblProgressInput[project_id],tblProgressInput[issue_flag],"",0,-1))</f>
        <v/>
      </c>
    </row>
    <row r="153">
      <c r="A153" s="2">
        <f>IFERROR(INDEX(tblResourceInput[entry_id],ROW()-1),"")</f>
        <v/>
      </c>
      <c r="B153" s="2">
        <f>IF($A153="","",INDEX(tblResourceInput[employee_id],ROW()-1))</f>
        <v/>
      </c>
      <c r="C153" s="2">
        <f>IF($B153="","",XLOOKUP($B153,tblEmployeeMaster[employee_id],tblEmployeeMaster[employee_name],""))</f>
        <v/>
      </c>
      <c r="D153" s="2">
        <f>IF($B153="","",XLOOKUP($B153,tblEmployeeMaster[employee_id],tblEmployeeMaster[department],""))</f>
        <v/>
      </c>
      <c r="E153" s="2">
        <f>IF($A153="","",INDEX(tblResourceInput[work_date],ROW()-1))</f>
        <v/>
      </c>
      <c r="F153" s="2">
        <f>IF($A153="","",INDEX(tblResourceInput[project_id],ROW()-1))</f>
        <v/>
      </c>
      <c r="G153" s="2">
        <f>IF($F153="","",XLOOKUP($F153,tblProjectMaster[project_id],tblProjectMaster[project_name],""))</f>
        <v/>
      </c>
      <c r="H153" s="2">
        <f>IF($A153="","",INDEX(tblResourceInput[task_name],ROW()-1))</f>
        <v/>
      </c>
      <c r="I153" s="2">
        <f>IF($A153="","",INDEX(tblResourceInput[planned_hours],ROW()-1))</f>
        <v/>
      </c>
      <c r="J153" s="2">
        <f>IF($B153="","",XLOOKUP($B153,tblEmployeeMaster[employee_id],tblEmployeeMaster[daily_capacity_hours],0))</f>
        <v/>
      </c>
      <c r="K153" s="2">
        <f>IF($B153="","",SUMIFS(tblResourceInput[planned_hours],tblResourceInput[employee_id],$B153,tblResourceInput[work_date],$E153))</f>
        <v/>
      </c>
      <c r="L153" s="5">
        <f>IFERROR($K153/$J153,0)</f>
        <v/>
      </c>
      <c r="M153" s="2">
        <f>IF($A153="","",IF($K153&gt;$J153,"OVER","OK"))</f>
        <v/>
      </c>
      <c r="N153" s="2">
        <f>IF($A153="","",MAX($J153-$K153,0))</f>
        <v/>
      </c>
      <c r="O153" s="5">
        <f>IF($F153="","",MAXIFS(tblProgressInput[progress_percent],tblProgressInput[project_id],$F153))</f>
        <v/>
      </c>
      <c r="P153" s="2">
        <f>IF($F153="","",XLOOKUP($F153,tblProgressInput[project_id],tblProgressInput[progress_status],"Not Started",0,-1))</f>
        <v/>
      </c>
      <c r="Q153" s="2">
        <f>IF($F153="","",XLOOKUP($F153,tblProgressInput[project_id],tblProgressInput[issue_flag],"",0,-1))</f>
        <v/>
      </c>
    </row>
    <row r="154">
      <c r="A154" s="2">
        <f>IFERROR(INDEX(tblResourceInput[entry_id],ROW()-1),"")</f>
        <v/>
      </c>
      <c r="B154" s="2">
        <f>IF($A154="","",INDEX(tblResourceInput[employee_id],ROW()-1))</f>
        <v/>
      </c>
      <c r="C154" s="2">
        <f>IF($B154="","",XLOOKUP($B154,tblEmployeeMaster[employee_id],tblEmployeeMaster[employee_name],""))</f>
        <v/>
      </c>
      <c r="D154" s="2">
        <f>IF($B154="","",XLOOKUP($B154,tblEmployeeMaster[employee_id],tblEmployeeMaster[department],""))</f>
        <v/>
      </c>
      <c r="E154" s="2">
        <f>IF($A154="","",INDEX(tblResourceInput[work_date],ROW()-1))</f>
        <v/>
      </c>
      <c r="F154" s="2">
        <f>IF($A154="","",INDEX(tblResourceInput[project_id],ROW()-1))</f>
        <v/>
      </c>
      <c r="G154" s="2">
        <f>IF($F154="","",XLOOKUP($F154,tblProjectMaster[project_id],tblProjectMaster[project_name],""))</f>
        <v/>
      </c>
      <c r="H154" s="2">
        <f>IF($A154="","",INDEX(tblResourceInput[task_name],ROW()-1))</f>
        <v/>
      </c>
      <c r="I154" s="2">
        <f>IF($A154="","",INDEX(tblResourceInput[planned_hours],ROW()-1))</f>
        <v/>
      </c>
      <c r="J154" s="2">
        <f>IF($B154="","",XLOOKUP($B154,tblEmployeeMaster[employee_id],tblEmployeeMaster[daily_capacity_hours],0))</f>
        <v/>
      </c>
      <c r="K154" s="2">
        <f>IF($B154="","",SUMIFS(tblResourceInput[planned_hours],tblResourceInput[employee_id],$B154,tblResourceInput[work_date],$E154))</f>
        <v/>
      </c>
      <c r="L154" s="5">
        <f>IFERROR($K154/$J154,0)</f>
        <v/>
      </c>
      <c r="M154" s="2">
        <f>IF($A154="","",IF($K154&gt;$J154,"OVER","OK"))</f>
        <v/>
      </c>
      <c r="N154" s="2">
        <f>IF($A154="","",MAX($J154-$K154,0))</f>
        <v/>
      </c>
      <c r="O154" s="5">
        <f>IF($F154="","",MAXIFS(tblProgressInput[progress_percent],tblProgressInput[project_id],$F154))</f>
        <v/>
      </c>
      <c r="P154" s="2">
        <f>IF($F154="","",XLOOKUP($F154,tblProgressInput[project_id],tblProgressInput[progress_status],"Not Started",0,-1))</f>
        <v/>
      </c>
      <c r="Q154" s="2">
        <f>IF($F154="","",XLOOKUP($F154,tblProgressInput[project_id],tblProgressInput[issue_flag],"",0,-1))</f>
        <v/>
      </c>
    </row>
    <row r="155">
      <c r="A155" s="2">
        <f>IFERROR(INDEX(tblResourceInput[entry_id],ROW()-1),"")</f>
        <v/>
      </c>
      <c r="B155" s="2">
        <f>IF($A155="","",INDEX(tblResourceInput[employee_id],ROW()-1))</f>
        <v/>
      </c>
      <c r="C155" s="2">
        <f>IF($B155="","",XLOOKUP($B155,tblEmployeeMaster[employee_id],tblEmployeeMaster[employee_name],""))</f>
        <v/>
      </c>
      <c r="D155" s="2">
        <f>IF($B155="","",XLOOKUP($B155,tblEmployeeMaster[employee_id],tblEmployeeMaster[department],""))</f>
        <v/>
      </c>
      <c r="E155" s="2">
        <f>IF($A155="","",INDEX(tblResourceInput[work_date],ROW()-1))</f>
        <v/>
      </c>
      <c r="F155" s="2">
        <f>IF($A155="","",INDEX(tblResourceInput[project_id],ROW()-1))</f>
        <v/>
      </c>
      <c r="G155" s="2">
        <f>IF($F155="","",XLOOKUP($F155,tblProjectMaster[project_id],tblProjectMaster[project_name],""))</f>
        <v/>
      </c>
      <c r="H155" s="2">
        <f>IF($A155="","",INDEX(tblResourceInput[task_name],ROW()-1))</f>
        <v/>
      </c>
      <c r="I155" s="2">
        <f>IF($A155="","",INDEX(tblResourceInput[planned_hours],ROW()-1))</f>
        <v/>
      </c>
      <c r="J155" s="2">
        <f>IF($B155="","",XLOOKUP($B155,tblEmployeeMaster[employee_id],tblEmployeeMaster[daily_capacity_hours],0))</f>
        <v/>
      </c>
      <c r="K155" s="2">
        <f>IF($B155="","",SUMIFS(tblResourceInput[planned_hours],tblResourceInput[employee_id],$B155,tblResourceInput[work_date],$E155))</f>
        <v/>
      </c>
      <c r="L155" s="5">
        <f>IFERROR($K155/$J155,0)</f>
        <v/>
      </c>
      <c r="M155" s="2">
        <f>IF($A155="","",IF($K155&gt;$J155,"OVER","OK"))</f>
        <v/>
      </c>
      <c r="N155" s="2">
        <f>IF($A155="","",MAX($J155-$K155,0))</f>
        <v/>
      </c>
      <c r="O155" s="5">
        <f>IF($F155="","",MAXIFS(tblProgressInput[progress_percent],tblProgressInput[project_id],$F155))</f>
        <v/>
      </c>
      <c r="P155" s="2">
        <f>IF($F155="","",XLOOKUP($F155,tblProgressInput[project_id],tblProgressInput[progress_status],"Not Started",0,-1))</f>
        <v/>
      </c>
      <c r="Q155" s="2">
        <f>IF($F155="","",XLOOKUP($F155,tblProgressInput[project_id],tblProgressInput[issue_flag],"",0,-1))</f>
        <v/>
      </c>
    </row>
    <row r="156">
      <c r="A156" s="2">
        <f>IFERROR(INDEX(tblResourceInput[entry_id],ROW()-1),"")</f>
        <v/>
      </c>
      <c r="B156" s="2">
        <f>IF($A156="","",INDEX(tblResourceInput[employee_id],ROW()-1))</f>
        <v/>
      </c>
      <c r="C156" s="2">
        <f>IF($B156="","",XLOOKUP($B156,tblEmployeeMaster[employee_id],tblEmployeeMaster[employee_name],""))</f>
        <v/>
      </c>
      <c r="D156" s="2">
        <f>IF($B156="","",XLOOKUP($B156,tblEmployeeMaster[employee_id],tblEmployeeMaster[department],""))</f>
        <v/>
      </c>
      <c r="E156" s="2">
        <f>IF($A156="","",INDEX(tblResourceInput[work_date],ROW()-1))</f>
        <v/>
      </c>
      <c r="F156" s="2">
        <f>IF($A156="","",INDEX(tblResourceInput[project_id],ROW()-1))</f>
        <v/>
      </c>
      <c r="G156" s="2">
        <f>IF($F156="","",XLOOKUP($F156,tblProjectMaster[project_id],tblProjectMaster[project_name],""))</f>
        <v/>
      </c>
      <c r="H156" s="2">
        <f>IF($A156="","",INDEX(tblResourceInput[task_name],ROW()-1))</f>
        <v/>
      </c>
      <c r="I156" s="2">
        <f>IF($A156="","",INDEX(tblResourceInput[planned_hours],ROW()-1))</f>
        <v/>
      </c>
      <c r="J156" s="2">
        <f>IF($B156="","",XLOOKUP($B156,tblEmployeeMaster[employee_id],tblEmployeeMaster[daily_capacity_hours],0))</f>
        <v/>
      </c>
      <c r="K156" s="2">
        <f>IF($B156="","",SUMIFS(tblResourceInput[planned_hours],tblResourceInput[employee_id],$B156,tblResourceInput[work_date],$E156))</f>
        <v/>
      </c>
      <c r="L156" s="5">
        <f>IFERROR($K156/$J156,0)</f>
        <v/>
      </c>
      <c r="M156" s="2">
        <f>IF($A156="","",IF($K156&gt;$J156,"OVER","OK"))</f>
        <v/>
      </c>
      <c r="N156" s="2">
        <f>IF($A156="","",MAX($J156-$K156,0))</f>
        <v/>
      </c>
      <c r="O156" s="5">
        <f>IF($F156="","",MAXIFS(tblProgressInput[progress_percent],tblProgressInput[project_id],$F156))</f>
        <v/>
      </c>
      <c r="P156" s="2">
        <f>IF($F156="","",XLOOKUP($F156,tblProgressInput[project_id],tblProgressInput[progress_status],"Not Started",0,-1))</f>
        <v/>
      </c>
      <c r="Q156" s="2">
        <f>IF($F156="","",XLOOKUP($F156,tblProgressInput[project_id],tblProgressInput[issue_flag],"",0,-1))</f>
        <v/>
      </c>
    </row>
    <row r="157">
      <c r="A157" s="2">
        <f>IFERROR(INDEX(tblResourceInput[entry_id],ROW()-1),"")</f>
        <v/>
      </c>
      <c r="B157" s="2">
        <f>IF($A157="","",INDEX(tblResourceInput[employee_id],ROW()-1))</f>
        <v/>
      </c>
      <c r="C157" s="2">
        <f>IF($B157="","",XLOOKUP($B157,tblEmployeeMaster[employee_id],tblEmployeeMaster[employee_name],""))</f>
        <v/>
      </c>
      <c r="D157" s="2">
        <f>IF($B157="","",XLOOKUP($B157,tblEmployeeMaster[employee_id],tblEmployeeMaster[department],""))</f>
        <v/>
      </c>
      <c r="E157" s="2">
        <f>IF($A157="","",INDEX(tblResourceInput[work_date],ROW()-1))</f>
        <v/>
      </c>
      <c r="F157" s="2">
        <f>IF($A157="","",INDEX(tblResourceInput[project_id],ROW()-1))</f>
        <v/>
      </c>
      <c r="G157" s="2">
        <f>IF($F157="","",XLOOKUP($F157,tblProjectMaster[project_id],tblProjectMaster[project_name],""))</f>
        <v/>
      </c>
      <c r="H157" s="2">
        <f>IF($A157="","",INDEX(tblResourceInput[task_name],ROW()-1))</f>
        <v/>
      </c>
      <c r="I157" s="2">
        <f>IF($A157="","",INDEX(tblResourceInput[planned_hours],ROW()-1))</f>
        <v/>
      </c>
      <c r="J157" s="2">
        <f>IF($B157="","",XLOOKUP($B157,tblEmployeeMaster[employee_id],tblEmployeeMaster[daily_capacity_hours],0))</f>
        <v/>
      </c>
      <c r="K157" s="2">
        <f>IF($B157="","",SUMIFS(tblResourceInput[planned_hours],tblResourceInput[employee_id],$B157,tblResourceInput[work_date],$E157))</f>
        <v/>
      </c>
      <c r="L157" s="5">
        <f>IFERROR($K157/$J157,0)</f>
        <v/>
      </c>
      <c r="M157" s="2">
        <f>IF($A157="","",IF($K157&gt;$J157,"OVER","OK"))</f>
        <v/>
      </c>
      <c r="N157" s="2">
        <f>IF($A157="","",MAX($J157-$K157,0))</f>
        <v/>
      </c>
      <c r="O157" s="5">
        <f>IF($F157="","",MAXIFS(tblProgressInput[progress_percent],tblProgressInput[project_id],$F157))</f>
        <v/>
      </c>
      <c r="P157" s="2">
        <f>IF($F157="","",XLOOKUP($F157,tblProgressInput[project_id],tblProgressInput[progress_status],"Not Started",0,-1))</f>
        <v/>
      </c>
      <c r="Q157" s="2">
        <f>IF($F157="","",XLOOKUP($F157,tblProgressInput[project_id],tblProgressInput[issue_flag],"",0,-1))</f>
        <v/>
      </c>
    </row>
    <row r="158">
      <c r="A158" s="2">
        <f>IFERROR(INDEX(tblResourceInput[entry_id],ROW()-1),"")</f>
        <v/>
      </c>
      <c r="B158" s="2">
        <f>IF($A158="","",INDEX(tblResourceInput[employee_id],ROW()-1))</f>
        <v/>
      </c>
      <c r="C158" s="2">
        <f>IF($B158="","",XLOOKUP($B158,tblEmployeeMaster[employee_id],tblEmployeeMaster[employee_name],""))</f>
        <v/>
      </c>
      <c r="D158" s="2">
        <f>IF($B158="","",XLOOKUP($B158,tblEmployeeMaster[employee_id],tblEmployeeMaster[department],""))</f>
        <v/>
      </c>
      <c r="E158" s="2">
        <f>IF($A158="","",INDEX(tblResourceInput[work_date],ROW()-1))</f>
        <v/>
      </c>
      <c r="F158" s="2">
        <f>IF($A158="","",INDEX(tblResourceInput[project_id],ROW()-1))</f>
        <v/>
      </c>
      <c r="G158" s="2">
        <f>IF($F158="","",XLOOKUP($F158,tblProjectMaster[project_id],tblProjectMaster[project_name],""))</f>
        <v/>
      </c>
      <c r="H158" s="2">
        <f>IF($A158="","",INDEX(tblResourceInput[task_name],ROW()-1))</f>
        <v/>
      </c>
      <c r="I158" s="2">
        <f>IF($A158="","",INDEX(tblResourceInput[planned_hours],ROW()-1))</f>
        <v/>
      </c>
      <c r="J158" s="2">
        <f>IF($B158="","",XLOOKUP($B158,tblEmployeeMaster[employee_id],tblEmployeeMaster[daily_capacity_hours],0))</f>
        <v/>
      </c>
      <c r="K158" s="2">
        <f>IF($B158="","",SUMIFS(tblResourceInput[planned_hours],tblResourceInput[employee_id],$B158,tblResourceInput[work_date],$E158))</f>
        <v/>
      </c>
      <c r="L158" s="5">
        <f>IFERROR($K158/$J158,0)</f>
        <v/>
      </c>
      <c r="M158" s="2">
        <f>IF($A158="","",IF($K158&gt;$J158,"OVER","OK"))</f>
        <v/>
      </c>
      <c r="N158" s="2">
        <f>IF($A158="","",MAX($J158-$K158,0))</f>
        <v/>
      </c>
      <c r="O158" s="5">
        <f>IF($F158="","",MAXIFS(tblProgressInput[progress_percent],tblProgressInput[project_id],$F158))</f>
        <v/>
      </c>
      <c r="P158" s="2">
        <f>IF($F158="","",XLOOKUP($F158,tblProgressInput[project_id],tblProgressInput[progress_status],"Not Started",0,-1))</f>
        <v/>
      </c>
      <c r="Q158" s="2">
        <f>IF($F158="","",XLOOKUP($F158,tblProgressInput[project_id],tblProgressInput[issue_flag],"",0,-1))</f>
        <v/>
      </c>
    </row>
    <row r="159">
      <c r="A159" s="2">
        <f>IFERROR(INDEX(tblResourceInput[entry_id],ROW()-1),"")</f>
        <v/>
      </c>
      <c r="B159" s="2">
        <f>IF($A159="","",INDEX(tblResourceInput[employee_id],ROW()-1))</f>
        <v/>
      </c>
      <c r="C159" s="2">
        <f>IF($B159="","",XLOOKUP($B159,tblEmployeeMaster[employee_id],tblEmployeeMaster[employee_name],""))</f>
        <v/>
      </c>
      <c r="D159" s="2">
        <f>IF($B159="","",XLOOKUP($B159,tblEmployeeMaster[employee_id],tblEmployeeMaster[department],""))</f>
        <v/>
      </c>
      <c r="E159" s="2">
        <f>IF($A159="","",INDEX(tblResourceInput[work_date],ROW()-1))</f>
        <v/>
      </c>
      <c r="F159" s="2">
        <f>IF($A159="","",INDEX(tblResourceInput[project_id],ROW()-1))</f>
        <v/>
      </c>
      <c r="G159" s="2">
        <f>IF($F159="","",XLOOKUP($F159,tblProjectMaster[project_id],tblProjectMaster[project_name],""))</f>
        <v/>
      </c>
      <c r="H159" s="2">
        <f>IF($A159="","",INDEX(tblResourceInput[task_name],ROW()-1))</f>
        <v/>
      </c>
      <c r="I159" s="2">
        <f>IF($A159="","",INDEX(tblResourceInput[planned_hours],ROW()-1))</f>
        <v/>
      </c>
      <c r="J159" s="2">
        <f>IF($B159="","",XLOOKUP($B159,tblEmployeeMaster[employee_id],tblEmployeeMaster[daily_capacity_hours],0))</f>
        <v/>
      </c>
      <c r="K159" s="2">
        <f>IF($B159="","",SUMIFS(tblResourceInput[planned_hours],tblResourceInput[employee_id],$B159,tblResourceInput[work_date],$E159))</f>
        <v/>
      </c>
      <c r="L159" s="5">
        <f>IFERROR($K159/$J159,0)</f>
        <v/>
      </c>
      <c r="M159" s="2">
        <f>IF($A159="","",IF($K159&gt;$J159,"OVER","OK"))</f>
        <v/>
      </c>
      <c r="N159" s="2">
        <f>IF($A159="","",MAX($J159-$K159,0))</f>
        <v/>
      </c>
      <c r="O159" s="5">
        <f>IF($F159="","",MAXIFS(tblProgressInput[progress_percent],tblProgressInput[project_id],$F159))</f>
        <v/>
      </c>
      <c r="P159" s="2">
        <f>IF($F159="","",XLOOKUP($F159,tblProgressInput[project_id],tblProgressInput[progress_status],"Not Started",0,-1))</f>
        <v/>
      </c>
      <c r="Q159" s="2">
        <f>IF($F159="","",XLOOKUP($F159,tblProgressInput[project_id],tblProgressInput[issue_flag],"",0,-1))</f>
        <v/>
      </c>
    </row>
    <row r="160">
      <c r="A160" s="2">
        <f>IFERROR(INDEX(tblResourceInput[entry_id],ROW()-1),"")</f>
        <v/>
      </c>
      <c r="B160" s="2">
        <f>IF($A160="","",INDEX(tblResourceInput[employee_id],ROW()-1))</f>
        <v/>
      </c>
      <c r="C160" s="2">
        <f>IF($B160="","",XLOOKUP($B160,tblEmployeeMaster[employee_id],tblEmployeeMaster[employee_name],""))</f>
        <v/>
      </c>
      <c r="D160" s="2">
        <f>IF($B160="","",XLOOKUP($B160,tblEmployeeMaster[employee_id],tblEmployeeMaster[department],""))</f>
        <v/>
      </c>
      <c r="E160" s="2">
        <f>IF($A160="","",INDEX(tblResourceInput[work_date],ROW()-1))</f>
        <v/>
      </c>
      <c r="F160" s="2">
        <f>IF($A160="","",INDEX(tblResourceInput[project_id],ROW()-1))</f>
        <v/>
      </c>
      <c r="G160" s="2">
        <f>IF($F160="","",XLOOKUP($F160,tblProjectMaster[project_id],tblProjectMaster[project_name],""))</f>
        <v/>
      </c>
      <c r="H160" s="2">
        <f>IF($A160="","",INDEX(tblResourceInput[task_name],ROW()-1))</f>
        <v/>
      </c>
      <c r="I160" s="2">
        <f>IF($A160="","",INDEX(tblResourceInput[planned_hours],ROW()-1))</f>
        <v/>
      </c>
      <c r="J160" s="2">
        <f>IF($B160="","",XLOOKUP($B160,tblEmployeeMaster[employee_id],tblEmployeeMaster[daily_capacity_hours],0))</f>
        <v/>
      </c>
      <c r="K160" s="2">
        <f>IF($B160="","",SUMIFS(tblResourceInput[planned_hours],tblResourceInput[employee_id],$B160,tblResourceInput[work_date],$E160))</f>
        <v/>
      </c>
      <c r="L160" s="5">
        <f>IFERROR($K160/$J160,0)</f>
        <v/>
      </c>
      <c r="M160" s="2">
        <f>IF($A160="","",IF($K160&gt;$J160,"OVER","OK"))</f>
        <v/>
      </c>
      <c r="N160" s="2">
        <f>IF($A160="","",MAX($J160-$K160,0))</f>
        <v/>
      </c>
      <c r="O160" s="5">
        <f>IF($F160="","",MAXIFS(tblProgressInput[progress_percent],tblProgressInput[project_id],$F160))</f>
        <v/>
      </c>
      <c r="P160" s="2">
        <f>IF($F160="","",XLOOKUP($F160,tblProgressInput[project_id],tblProgressInput[progress_status],"Not Started",0,-1))</f>
        <v/>
      </c>
      <c r="Q160" s="2">
        <f>IF($F160="","",XLOOKUP($F160,tblProgressInput[project_id],tblProgressInput[issue_flag],"",0,-1))</f>
        <v/>
      </c>
    </row>
    <row r="161">
      <c r="A161" s="2">
        <f>IFERROR(INDEX(tblResourceInput[entry_id],ROW()-1),"")</f>
        <v/>
      </c>
      <c r="B161" s="2">
        <f>IF($A161="","",INDEX(tblResourceInput[employee_id],ROW()-1))</f>
        <v/>
      </c>
      <c r="C161" s="2">
        <f>IF($B161="","",XLOOKUP($B161,tblEmployeeMaster[employee_id],tblEmployeeMaster[employee_name],""))</f>
        <v/>
      </c>
      <c r="D161" s="2">
        <f>IF($B161="","",XLOOKUP($B161,tblEmployeeMaster[employee_id],tblEmployeeMaster[department],""))</f>
        <v/>
      </c>
      <c r="E161" s="2">
        <f>IF($A161="","",INDEX(tblResourceInput[work_date],ROW()-1))</f>
        <v/>
      </c>
      <c r="F161" s="2">
        <f>IF($A161="","",INDEX(tblResourceInput[project_id],ROW()-1))</f>
        <v/>
      </c>
      <c r="G161" s="2">
        <f>IF($F161="","",XLOOKUP($F161,tblProjectMaster[project_id],tblProjectMaster[project_name],""))</f>
        <v/>
      </c>
      <c r="H161" s="2">
        <f>IF($A161="","",INDEX(tblResourceInput[task_name],ROW()-1))</f>
        <v/>
      </c>
      <c r="I161" s="2">
        <f>IF($A161="","",INDEX(tblResourceInput[planned_hours],ROW()-1))</f>
        <v/>
      </c>
      <c r="J161" s="2">
        <f>IF($B161="","",XLOOKUP($B161,tblEmployeeMaster[employee_id],tblEmployeeMaster[daily_capacity_hours],0))</f>
        <v/>
      </c>
      <c r="K161" s="2">
        <f>IF($B161="","",SUMIFS(tblResourceInput[planned_hours],tblResourceInput[employee_id],$B161,tblResourceInput[work_date],$E161))</f>
        <v/>
      </c>
      <c r="L161" s="5">
        <f>IFERROR($K161/$J161,0)</f>
        <v/>
      </c>
      <c r="M161" s="2">
        <f>IF($A161="","",IF($K161&gt;$J161,"OVER","OK"))</f>
        <v/>
      </c>
      <c r="N161" s="2">
        <f>IF($A161="","",MAX($J161-$K161,0))</f>
        <v/>
      </c>
      <c r="O161" s="5">
        <f>IF($F161="","",MAXIFS(tblProgressInput[progress_percent],tblProgressInput[project_id],$F161))</f>
        <v/>
      </c>
      <c r="P161" s="2">
        <f>IF($F161="","",XLOOKUP($F161,tblProgressInput[project_id],tblProgressInput[progress_status],"Not Started",0,-1))</f>
        <v/>
      </c>
      <c r="Q161" s="2">
        <f>IF($F161="","",XLOOKUP($F161,tblProgressInput[project_id],tblProgressInput[issue_flag],"",0,-1))</f>
        <v/>
      </c>
    </row>
    <row r="162">
      <c r="A162" s="2">
        <f>IFERROR(INDEX(tblResourceInput[entry_id],ROW()-1),"")</f>
        <v/>
      </c>
      <c r="B162" s="2">
        <f>IF($A162="","",INDEX(tblResourceInput[employee_id],ROW()-1))</f>
        <v/>
      </c>
      <c r="C162" s="2">
        <f>IF($B162="","",XLOOKUP($B162,tblEmployeeMaster[employee_id],tblEmployeeMaster[employee_name],""))</f>
        <v/>
      </c>
      <c r="D162" s="2">
        <f>IF($B162="","",XLOOKUP($B162,tblEmployeeMaster[employee_id],tblEmployeeMaster[department],""))</f>
        <v/>
      </c>
      <c r="E162" s="2">
        <f>IF($A162="","",INDEX(tblResourceInput[work_date],ROW()-1))</f>
        <v/>
      </c>
      <c r="F162" s="2">
        <f>IF($A162="","",INDEX(tblResourceInput[project_id],ROW()-1))</f>
        <v/>
      </c>
      <c r="G162" s="2">
        <f>IF($F162="","",XLOOKUP($F162,tblProjectMaster[project_id],tblProjectMaster[project_name],""))</f>
        <v/>
      </c>
      <c r="H162" s="2">
        <f>IF($A162="","",INDEX(tblResourceInput[task_name],ROW()-1))</f>
        <v/>
      </c>
      <c r="I162" s="2">
        <f>IF($A162="","",INDEX(tblResourceInput[planned_hours],ROW()-1))</f>
        <v/>
      </c>
      <c r="J162" s="2">
        <f>IF($B162="","",XLOOKUP($B162,tblEmployeeMaster[employee_id],tblEmployeeMaster[daily_capacity_hours],0))</f>
        <v/>
      </c>
      <c r="K162" s="2">
        <f>IF($B162="","",SUMIFS(tblResourceInput[planned_hours],tblResourceInput[employee_id],$B162,tblResourceInput[work_date],$E162))</f>
        <v/>
      </c>
      <c r="L162" s="5">
        <f>IFERROR($K162/$J162,0)</f>
        <v/>
      </c>
      <c r="M162" s="2">
        <f>IF($A162="","",IF($K162&gt;$J162,"OVER","OK"))</f>
        <v/>
      </c>
      <c r="N162" s="2">
        <f>IF($A162="","",MAX($J162-$K162,0))</f>
        <v/>
      </c>
      <c r="O162" s="5">
        <f>IF($F162="","",MAXIFS(tblProgressInput[progress_percent],tblProgressInput[project_id],$F162))</f>
        <v/>
      </c>
      <c r="P162" s="2">
        <f>IF($F162="","",XLOOKUP($F162,tblProgressInput[project_id],tblProgressInput[progress_status],"Not Started",0,-1))</f>
        <v/>
      </c>
      <c r="Q162" s="2">
        <f>IF($F162="","",XLOOKUP($F162,tblProgressInput[project_id],tblProgressInput[issue_flag],"",0,-1))</f>
        <v/>
      </c>
    </row>
    <row r="163">
      <c r="A163" s="2">
        <f>IFERROR(INDEX(tblResourceInput[entry_id],ROW()-1),"")</f>
        <v/>
      </c>
      <c r="B163" s="2">
        <f>IF($A163="","",INDEX(tblResourceInput[employee_id],ROW()-1))</f>
        <v/>
      </c>
      <c r="C163" s="2">
        <f>IF($B163="","",XLOOKUP($B163,tblEmployeeMaster[employee_id],tblEmployeeMaster[employee_name],""))</f>
        <v/>
      </c>
      <c r="D163" s="2">
        <f>IF($B163="","",XLOOKUP($B163,tblEmployeeMaster[employee_id],tblEmployeeMaster[department],""))</f>
        <v/>
      </c>
      <c r="E163" s="2">
        <f>IF($A163="","",INDEX(tblResourceInput[work_date],ROW()-1))</f>
        <v/>
      </c>
      <c r="F163" s="2">
        <f>IF($A163="","",INDEX(tblResourceInput[project_id],ROW()-1))</f>
        <v/>
      </c>
      <c r="G163" s="2">
        <f>IF($F163="","",XLOOKUP($F163,tblProjectMaster[project_id],tblProjectMaster[project_name],""))</f>
        <v/>
      </c>
      <c r="H163" s="2">
        <f>IF($A163="","",INDEX(tblResourceInput[task_name],ROW()-1))</f>
        <v/>
      </c>
      <c r="I163" s="2">
        <f>IF($A163="","",INDEX(tblResourceInput[planned_hours],ROW()-1))</f>
        <v/>
      </c>
      <c r="J163" s="2">
        <f>IF($B163="","",XLOOKUP($B163,tblEmployeeMaster[employee_id],tblEmployeeMaster[daily_capacity_hours],0))</f>
        <v/>
      </c>
      <c r="K163" s="2">
        <f>IF($B163="","",SUMIFS(tblResourceInput[planned_hours],tblResourceInput[employee_id],$B163,tblResourceInput[work_date],$E163))</f>
        <v/>
      </c>
      <c r="L163" s="5">
        <f>IFERROR($K163/$J163,0)</f>
        <v/>
      </c>
      <c r="M163" s="2">
        <f>IF($A163="","",IF($K163&gt;$J163,"OVER","OK"))</f>
        <v/>
      </c>
      <c r="N163" s="2">
        <f>IF($A163="","",MAX($J163-$K163,0))</f>
        <v/>
      </c>
      <c r="O163" s="5">
        <f>IF($F163="","",MAXIFS(tblProgressInput[progress_percent],tblProgressInput[project_id],$F163))</f>
        <v/>
      </c>
      <c r="P163" s="2">
        <f>IF($F163="","",XLOOKUP($F163,tblProgressInput[project_id],tblProgressInput[progress_status],"Not Started",0,-1))</f>
        <v/>
      </c>
      <c r="Q163" s="2">
        <f>IF($F163="","",XLOOKUP($F163,tblProgressInput[project_id],tblProgressInput[issue_flag],"",0,-1))</f>
        <v/>
      </c>
    </row>
    <row r="164">
      <c r="A164" s="2">
        <f>IFERROR(INDEX(tblResourceInput[entry_id],ROW()-1),"")</f>
        <v/>
      </c>
      <c r="B164" s="2">
        <f>IF($A164="","",INDEX(tblResourceInput[employee_id],ROW()-1))</f>
        <v/>
      </c>
      <c r="C164" s="2">
        <f>IF($B164="","",XLOOKUP($B164,tblEmployeeMaster[employee_id],tblEmployeeMaster[employee_name],""))</f>
        <v/>
      </c>
      <c r="D164" s="2">
        <f>IF($B164="","",XLOOKUP($B164,tblEmployeeMaster[employee_id],tblEmployeeMaster[department],""))</f>
        <v/>
      </c>
      <c r="E164" s="2">
        <f>IF($A164="","",INDEX(tblResourceInput[work_date],ROW()-1))</f>
        <v/>
      </c>
      <c r="F164" s="2">
        <f>IF($A164="","",INDEX(tblResourceInput[project_id],ROW()-1))</f>
        <v/>
      </c>
      <c r="G164" s="2">
        <f>IF($F164="","",XLOOKUP($F164,tblProjectMaster[project_id],tblProjectMaster[project_name],""))</f>
        <v/>
      </c>
      <c r="H164" s="2">
        <f>IF($A164="","",INDEX(tblResourceInput[task_name],ROW()-1))</f>
        <v/>
      </c>
      <c r="I164" s="2">
        <f>IF($A164="","",INDEX(tblResourceInput[planned_hours],ROW()-1))</f>
        <v/>
      </c>
      <c r="J164" s="2">
        <f>IF($B164="","",XLOOKUP($B164,tblEmployeeMaster[employee_id],tblEmployeeMaster[daily_capacity_hours],0))</f>
        <v/>
      </c>
      <c r="K164" s="2">
        <f>IF($B164="","",SUMIFS(tblResourceInput[planned_hours],tblResourceInput[employee_id],$B164,tblResourceInput[work_date],$E164))</f>
        <v/>
      </c>
      <c r="L164" s="5">
        <f>IFERROR($K164/$J164,0)</f>
        <v/>
      </c>
      <c r="M164" s="2">
        <f>IF($A164="","",IF($K164&gt;$J164,"OVER","OK"))</f>
        <v/>
      </c>
      <c r="N164" s="2">
        <f>IF($A164="","",MAX($J164-$K164,0))</f>
        <v/>
      </c>
      <c r="O164" s="5">
        <f>IF($F164="","",MAXIFS(tblProgressInput[progress_percent],tblProgressInput[project_id],$F164))</f>
        <v/>
      </c>
      <c r="P164" s="2">
        <f>IF($F164="","",XLOOKUP($F164,tblProgressInput[project_id],tblProgressInput[progress_status],"Not Started",0,-1))</f>
        <v/>
      </c>
      <c r="Q164" s="2">
        <f>IF($F164="","",XLOOKUP($F164,tblProgressInput[project_id],tblProgressInput[issue_flag],"",0,-1))</f>
        <v/>
      </c>
    </row>
    <row r="165">
      <c r="A165" s="2">
        <f>IFERROR(INDEX(tblResourceInput[entry_id],ROW()-1),"")</f>
        <v/>
      </c>
      <c r="B165" s="2">
        <f>IF($A165="","",INDEX(tblResourceInput[employee_id],ROW()-1))</f>
        <v/>
      </c>
      <c r="C165" s="2">
        <f>IF($B165="","",XLOOKUP($B165,tblEmployeeMaster[employee_id],tblEmployeeMaster[employee_name],""))</f>
        <v/>
      </c>
      <c r="D165" s="2">
        <f>IF($B165="","",XLOOKUP($B165,tblEmployeeMaster[employee_id],tblEmployeeMaster[department],""))</f>
        <v/>
      </c>
      <c r="E165" s="2">
        <f>IF($A165="","",INDEX(tblResourceInput[work_date],ROW()-1))</f>
        <v/>
      </c>
      <c r="F165" s="2">
        <f>IF($A165="","",INDEX(tblResourceInput[project_id],ROW()-1))</f>
        <v/>
      </c>
      <c r="G165" s="2">
        <f>IF($F165="","",XLOOKUP($F165,tblProjectMaster[project_id],tblProjectMaster[project_name],""))</f>
        <v/>
      </c>
      <c r="H165" s="2">
        <f>IF($A165="","",INDEX(tblResourceInput[task_name],ROW()-1))</f>
        <v/>
      </c>
      <c r="I165" s="2">
        <f>IF($A165="","",INDEX(tblResourceInput[planned_hours],ROW()-1))</f>
        <v/>
      </c>
      <c r="J165" s="2">
        <f>IF($B165="","",XLOOKUP($B165,tblEmployeeMaster[employee_id],tblEmployeeMaster[daily_capacity_hours],0))</f>
        <v/>
      </c>
      <c r="K165" s="2">
        <f>IF($B165="","",SUMIFS(tblResourceInput[planned_hours],tblResourceInput[employee_id],$B165,tblResourceInput[work_date],$E165))</f>
        <v/>
      </c>
      <c r="L165" s="5">
        <f>IFERROR($K165/$J165,0)</f>
        <v/>
      </c>
      <c r="M165" s="2">
        <f>IF($A165="","",IF($K165&gt;$J165,"OVER","OK"))</f>
        <v/>
      </c>
      <c r="N165" s="2">
        <f>IF($A165="","",MAX($J165-$K165,0))</f>
        <v/>
      </c>
      <c r="O165" s="5">
        <f>IF($F165="","",MAXIFS(tblProgressInput[progress_percent],tblProgressInput[project_id],$F165))</f>
        <v/>
      </c>
      <c r="P165" s="2">
        <f>IF($F165="","",XLOOKUP($F165,tblProgressInput[project_id],tblProgressInput[progress_status],"Not Started",0,-1))</f>
        <v/>
      </c>
      <c r="Q165" s="2">
        <f>IF($F165="","",XLOOKUP($F165,tblProgressInput[project_id],tblProgressInput[issue_flag],"",0,-1))</f>
        <v/>
      </c>
    </row>
    <row r="166">
      <c r="A166" s="2">
        <f>IFERROR(INDEX(tblResourceInput[entry_id],ROW()-1),"")</f>
        <v/>
      </c>
      <c r="B166" s="2">
        <f>IF($A166="","",INDEX(tblResourceInput[employee_id],ROW()-1))</f>
        <v/>
      </c>
      <c r="C166" s="2">
        <f>IF($B166="","",XLOOKUP($B166,tblEmployeeMaster[employee_id],tblEmployeeMaster[employee_name],""))</f>
        <v/>
      </c>
      <c r="D166" s="2">
        <f>IF($B166="","",XLOOKUP($B166,tblEmployeeMaster[employee_id],tblEmployeeMaster[department],""))</f>
        <v/>
      </c>
      <c r="E166" s="2">
        <f>IF($A166="","",INDEX(tblResourceInput[work_date],ROW()-1))</f>
        <v/>
      </c>
      <c r="F166" s="2">
        <f>IF($A166="","",INDEX(tblResourceInput[project_id],ROW()-1))</f>
        <v/>
      </c>
      <c r="G166" s="2">
        <f>IF($F166="","",XLOOKUP($F166,tblProjectMaster[project_id],tblProjectMaster[project_name],""))</f>
        <v/>
      </c>
      <c r="H166" s="2">
        <f>IF($A166="","",INDEX(tblResourceInput[task_name],ROW()-1))</f>
        <v/>
      </c>
      <c r="I166" s="2">
        <f>IF($A166="","",INDEX(tblResourceInput[planned_hours],ROW()-1))</f>
        <v/>
      </c>
      <c r="J166" s="2">
        <f>IF($B166="","",XLOOKUP($B166,tblEmployeeMaster[employee_id],tblEmployeeMaster[daily_capacity_hours],0))</f>
        <v/>
      </c>
      <c r="K166" s="2">
        <f>IF($B166="","",SUMIFS(tblResourceInput[planned_hours],tblResourceInput[employee_id],$B166,tblResourceInput[work_date],$E166))</f>
        <v/>
      </c>
      <c r="L166" s="5">
        <f>IFERROR($K166/$J166,0)</f>
        <v/>
      </c>
      <c r="M166" s="2">
        <f>IF($A166="","",IF($K166&gt;$J166,"OVER","OK"))</f>
        <v/>
      </c>
      <c r="N166" s="2">
        <f>IF($A166="","",MAX($J166-$K166,0))</f>
        <v/>
      </c>
      <c r="O166" s="5">
        <f>IF($F166="","",MAXIFS(tblProgressInput[progress_percent],tblProgressInput[project_id],$F166))</f>
        <v/>
      </c>
      <c r="P166" s="2">
        <f>IF($F166="","",XLOOKUP($F166,tblProgressInput[project_id],tblProgressInput[progress_status],"Not Started",0,-1))</f>
        <v/>
      </c>
      <c r="Q166" s="2">
        <f>IF($F166="","",XLOOKUP($F166,tblProgressInput[project_id],tblProgressInput[issue_flag],"",0,-1))</f>
        <v/>
      </c>
    </row>
    <row r="167">
      <c r="A167" s="2">
        <f>IFERROR(INDEX(tblResourceInput[entry_id],ROW()-1),"")</f>
        <v/>
      </c>
      <c r="B167" s="2">
        <f>IF($A167="","",INDEX(tblResourceInput[employee_id],ROW()-1))</f>
        <v/>
      </c>
      <c r="C167" s="2">
        <f>IF($B167="","",XLOOKUP($B167,tblEmployeeMaster[employee_id],tblEmployeeMaster[employee_name],""))</f>
        <v/>
      </c>
      <c r="D167" s="2">
        <f>IF($B167="","",XLOOKUP($B167,tblEmployeeMaster[employee_id],tblEmployeeMaster[department],""))</f>
        <v/>
      </c>
      <c r="E167" s="2">
        <f>IF($A167="","",INDEX(tblResourceInput[work_date],ROW()-1))</f>
        <v/>
      </c>
      <c r="F167" s="2">
        <f>IF($A167="","",INDEX(tblResourceInput[project_id],ROW()-1))</f>
        <v/>
      </c>
      <c r="G167" s="2">
        <f>IF($F167="","",XLOOKUP($F167,tblProjectMaster[project_id],tblProjectMaster[project_name],""))</f>
        <v/>
      </c>
      <c r="H167" s="2">
        <f>IF($A167="","",INDEX(tblResourceInput[task_name],ROW()-1))</f>
        <v/>
      </c>
      <c r="I167" s="2">
        <f>IF($A167="","",INDEX(tblResourceInput[planned_hours],ROW()-1))</f>
        <v/>
      </c>
      <c r="J167" s="2">
        <f>IF($B167="","",XLOOKUP($B167,tblEmployeeMaster[employee_id],tblEmployeeMaster[daily_capacity_hours],0))</f>
        <v/>
      </c>
      <c r="K167" s="2">
        <f>IF($B167="","",SUMIFS(tblResourceInput[planned_hours],tblResourceInput[employee_id],$B167,tblResourceInput[work_date],$E167))</f>
        <v/>
      </c>
      <c r="L167" s="5">
        <f>IFERROR($K167/$J167,0)</f>
        <v/>
      </c>
      <c r="M167" s="2">
        <f>IF($A167="","",IF($K167&gt;$J167,"OVER","OK"))</f>
        <v/>
      </c>
      <c r="N167" s="2">
        <f>IF($A167="","",MAX($J167-$K167,0))</f>
        <v/>
      </c>
      <c r="O167" s="5">
        <f>IF($F167="","",MAXIFS(tblProgressInput[progress_percent],tblProgressInput[project_id],$F167))</f>
        <v/>
      </c>
      <c r="P167" s="2">
        <f>IF($F167="","",XLOOKUP($F167,tblProgressInput[project_id],tblProgressInput[progress_status],"Not Started",0,-1))</f>
        <v/>
      </c>
      <c r="Q167" s="2">
        <f>IF($F167="","",XLOOKUP($F167,tblProgressInput[project_id],tblProgressInput[issue_flag],"",0,-1))</f>
        <v/>
      </c>
    </row>
    <row r="168">
      <c r="A168" s="2">
        <f>IFERROR(INDEX(tblResourceInput[entry_id],ROW()-1),"")</f>
        <v/>
      </c>
      <c r="B168" s="2">
        <f>IF($A168="","",INDEX(tblResourceInput[employee_id],ROW()-1))</f>
        <v/>
      </c>
      <c r="C168" s="2">
        <f>IF($B168="","",XLOOKUP($B168,tblEmployeeMaster[employee_id],tblEmployeeMaster[employee_name],""))</f>
        <v/>
      </c>
      <c r="D168" s="2">
        <f>IF($B168="","",XLOOKUP($B168,tblEmployeeMaster[employee_id],tblEmployeeMaster[department],""))</f>
        <v/>
      </c>
      <c r="E168" s="2">
        <f>IF($A168="","",INDEX(tblResourceInput[work_date],ROW()-1))</f>
        <v/>
      </c>
      <c r="F168" s="2">
        <f>IF($A168="","",INDEX(tblResourceInput[project_id],ROW()-1))</f>
        <v/>
      </c>
      <c r="G168" s="2">
        <f>IF($F168="","",XLOOKUP($F168,tblProjectMaster[project_id],tblProjectMaster[project_name],""))</f>
        <v/>
      </c>
      <c r="H168" s="2">
        <f>IF($A168="","",INDEX(tblResourceInput[task_name],ROW()-1))</f>
        <v/>
      </c>
      <c r="I168" s="2">
        <f>IF($A168="","",INDEX(tblResourceInput[planned_hours],ROW()-1))</f>
        <v/>
      </c>
      <c r="J168" s="2">
        <f>IF($B168="","",XLOOKUP($B168,tblEmployeeMaster[employee_id],tblEmployeeMaster[daily_capacity_hours],0))</f>
        <v/>
      </c>
      <c r="K168" s="2">
        <f>IF($B168="","",SUMIFS(tblResourceInput[planned_hours],tblResourceInput[employee_id],$B168,tblResourceInput[work_date],$E168))</f>
        <v/>
      </c>
      <c r="L168" s="5">
        <f>IFERROR($K168/$J168,0)</f>
        <v/>
      </c>
      <c r="M168" s="2">
        <f>IF($A168="","",IF($K168&gt;$J168,"OVER","OK"))</f>
        <v/>
      </c>
      <c r="N168" s="2">
        <f>IF($A168="","",MAX($J168-$K168,0))</f>
        <v/>
      </c>
      <c r="O168" s="5">
        <f>IF($F168="","",MAXIFS(tblProgressInput[progress_percent],tblProgressInput[project_id],$F168))</f>
        <v/>
      </c>
      <c r="P168" s="2">
        <f>IF($F168="","",XLOOKUP($F168,tblProgressInput[project_id],tblProgressInput[progress_status],"Not Started",0,-1))</f>
        <v/>
      </c>
      <c r="Q168" s="2">
        <f>IF($F168="","",XLOOKUP($F168,tblProgressInput[project_id],tblProgressInput[issue_flag],"",0,-1))</f>
        <v/>
      </c>
    </row>
    <row r="169">
      <c r="A169" s="2">
        <f>IFERROR(INDEX(tblResourceInput[entry_id],ROW()-1),"")</f>
        <v/>
      </c>
      <c r="B169" s="2">
        <f>IF($A169="","",INDEX(tblResourceInput[employee_id],ROW()-1))</f>
        <v/>
      </c>
      <c r="C169" s="2">
        <f>IF($B169="","",XLOOKUP($B169,tblEmployeeMaster[employee_id],tblEmployeeMaster[employee_name],""))</f>
        <v/>
      </c>
      <c r="D169" s="2">
        <f>IF($B169="","",XLOOKUP($B169,tblEmployeeMaster[employee_id],tblEmployeeMaster[department],""))</f>
        <v/>
      </c>
      <c r="E169" s="2">
        <f>IF($A169="","",INDEX(tblResourceInput[work_date],ROW()-1))</f>
        <v/>
      </c>
      <c r="F169" s="2">
        <f>IF($A169="","",INDEX(tblResourceInput[project_id],ROW()-1))</f>
        <v/>
      </c>
      <c r="G169" s="2">
        <f>IF($F169="","",XLOOKUP($F169,tblProjectMaster[project_id],tblProjectMaster[project_name],""))</f>
        <v/>
      </c>
      <c r="H169" s="2">
        <f>IF($A169="","",INDEX(tblResourceInput[task_name],ROW()-1))</f>
        <v/>
      </c>
      <c r="I169" s="2">
        <f>IF($A169="","",INDEX(tblResourceInput[planned_hours],ROW()-1))</f>
        <v/>
      </c>
      <c r="J169" s="2">
        <f>IF($B169="","",XLOOKUP($B169,tblEmployeeMaster[employee_id],tblEmployeeMaster[daily_capacity_hours],0))</f>
        <v/>
      </c>
      <c r="K169" s="2">
        <f>IF($B169="","",SUMIFS(tblResourceInput[planned_hours],tblResourceInput[employee_id],$B169,tblResourceInput[work_date],$E169))</f>
        <v/>
      </c>
      <c r="L169" s="5">
        <f>IFERROR($K169/$J169,0)</f>
        <v/>
      </c>
      <c r="M169" s="2">
        <f>IF($A169="","",IF($K169&gt;$J169,"OVER","OK"))</f>
        <v/>
      </c>
      <c r="N169" s="2">
        <f>IF($A169="","",MAX($J169-$K169,0))</f>
        <v/>
      </c>
      <c r="O169" s="5">
        <f>IF($F169="","",MAXIFS(tblProgressInput[progress_percent],tblProgressInput[project_id],$F169))</f>
        <v/>
      </c>
      <c r="P169" s="2">
        <f>IF($F169="","",XLOOKUP($F169,tblProgressInput[project_id],tblProgressInput[progress_status],"Not Started",0,-1))</f>
        <v/>
      </c>
      <c r="Q169" s="2">
        <f>IF($F169="","",XLOOKUP($F169,tblProgressInput[project_id],tblProgressInput[issue_flag],"",0,-1))</f>
        <v/>
      </c>
    </row>
    <row r="170">
      <c r="A170" s="2">
        <f>IFERROR(INDEX(tblResourceInput[entry_id],ROW()-1),"")</f>
        <v/>
      </c>
      <c r="B170" s="2">
        <f>IF($A170="","",INDEX(tblResourceInput[employee_id],ROW()-1))</f>
        <v/>
      </c>
      <c r="C170" s="2">
        <f>IF($B170="","",XLOOKUP($B170,tblEmployeeMaster[employee_id],tblEmployeeMaster[employee_name],""))</f>
        <v/>
      </c>
      <c r="D170" s="2">
        <f>IF($B170="","",XLOOKUP($B170,tblEmployeeMaster[employee_id],tblEmployeeMaster[department],""))</f>
        <v/>
      </c>
      <c r="E170" s="2">
        <f>IF($A170="","",INDEX(tblResourceInput[work_date],ROW()-1))</f>
        <v/>
      </c>
      <c r="F170" s="2">
        <f>IF($A170="","",INDEX(tblResourceInput[project_id],ROW()-1))</f>
        <v/>
      </c>
      <c r="G170" s="2">
        <f>IF($F170="","",XLOOKUP($F170,tblProjectMaster[project_id],tblProjectMaster[project_name],""))</f>
        <v/>
      </c>
      <c r="H170" s="2">
        <f>IF($A170="","",INDEX(tblResourceInput[task_name],ROW()-1))</f>
        <v/>
      </c>
      <c r="I170" s="2">
        <f>IF($A170="","",INDEX(tblResourceInput[planned_hours],ROW()-1))</f>
        <v/>
      </c>
      <c r="J170" s="2">
        <f>IF($B170="","",XLOOKUP($B170,tblEmployeeMaster[employee_id],tblEmployeeMaster[daily_capacity_hours],0))</f>
        <v/>
      </c>
      <c r="K170" s="2">
        <f>IF($B170="","",SUMIFS(tblResourceInput[planned_hours],tblResourceInput[employee_id],$B170,tblResourceInput[work_date],$E170))</f>
        <v/>
      </c>
      <c r="L170" s="5">
        <f>IFERROR($K170/$J170,0)</f>
        <v/>
      </c>
      <c r="M170" s="2">
        <f>IF($A170="","",IF($K170&gt;$J170,"OVER","OK"))</f>
        <v/>
      </c>
      <c r="N170" s="2">
        <f>IF($A170="","",MAX($J170-$K170,0))</f>
        <v/>
      </c>
      <c r="O170" s="5">
        <f>IF($F170="","",MAXIFS(tblProgressInput[progress_percent],tblProgressInput[project_id],$F170))</f>
        <v/>
      </c>
      <c r="P170" s="2">
        <f>IF($F170="","",XLOOKUP($F170,tblProgressInput[project_id],tblProgressInput[progress_status],"Not Started",0,-1))</f>
        <v/>
      </c>
      <c r="Q170" s="2">
        <f>IF($F170="","",XLOOKUP($F170,tblProgressInput[project_id],tblProgressInput[issue_flag],"",0,-1))</f>
        <v/>
      </c>
    </row>
    <row r="171">
      <c r="A171" s="2">
        <f>IFERROR(INDEX(tblResourceInput[entry_id],ROW()-1),"")</f>
        <v/>
      </c>
      <c r="B171" s="2">
        <f>IF($A171="","",INDEX(tblResourceInput[employee_id],ROW()-1))</f>
        <v/>
      </c>
      <c r="C171" s="2">
        <f>IF($B171="","",XLOOKUP($B171,tblEmployeeMaster[employee_id],tblEmployeeMaster[employee_name],""))</f>
        <v/>
      </c>
      <c r="D171" s="2">
        <f>IF($B171="","",XLOOKUP($B171,tblEmployeeMaster[employee_id],tblEmployeeMaster[department],""))</f>
        <v/>
      </c>
      <c r="E171" s="2">
        <f>IF($A171="","",INDEX(tblResourceInput[work_date],ROW()-1))</f>
        <v/>
      </c>
      <c r="F171" s="2">
        <f>IF($A171="","",INDEX(tblResourceInput[project_id],ROW()-1))</f>
        <v/>
      </c>
      <c r="G171" s="2">
        <f>IF($F171="","",XLOOKUP($F171,tblProjectMaster[project_id],tblProjectMaster[project_name],""))</f>
        <v/>
      </c>
      <c r="H171" s="2">
        <f>IF($A171="","",INDEX(tblResourceInput[task_name],ROW()-1))</f>
        <v/>
      </c>
      <c r="I171" s="2">
        <f>IF($A171="","",INDEX(tblResourceInput[planned_hours],ROW()-1))</f>
        <v/>
      </c>
      <c r="J171" s="2">
        <f>IF($B171="","",XLOOKUP($B171,tblEmployeeMaster[employee_id],tblEmployeeMaster[daily_capacity_hours],0))</f>
        <v/>
      </c>
      <c r="K171" s="2">
        <f>IF($B171="","",SUMIFS(tblResourceInput[planned_hours],tblResourceInput[employee_id],$B171,tblResourceInput[work_date],$E171))</f>
        <v/>
      </c>
      <c r="L171" s="5">
        <f>IFERROR($K171/$J171,0)</f>
        <v/>
      </c>
      <c r="M171" s="2">
        <f>IF($A171="","",IF($K171&gt;$J171,"OVER","OK"))</f>
        <v/>
      </c>
      <c r="N171" s="2">
        <f>IF($A171="","",MAX($J171-$K171,0))</f>
        <v/>
      </c>
      <c r="O171" s="5">
        <f>IF($F171="","",MAXIFS(tblProgressInput[progress_percent],tblProgressInput[project_id],$F171))</f>
        <v/>
      </c>
      <c r="P171" s="2">
        <f>IF($F171="","",XLOOKUP($F171,tblProgressInput[project_id],tblProgressInput[progress_status],"Not Started",0,-1))</f>
        <v/>
      </c>
      <c r="Q171" s="2">
        <f>IF($F171="","",XLOOKUP($F171,tblProgressInput[project_id],tblProgressInput[issue_flag],"",0,-1))</f>
        <v/>
      </c>
    </row>
    <row r="172">
      <c r="A172" s="2">
        <f>IFERROR(INDEX(tblResourceInput[entry_id],ROW()-1),"")</f>
        <v/>
      </c>
      <c r="B172" s="2">
        <f>IF($A172="","",INDEX(tblResourceInput[employee_id],ROW()-1))</f>
        <v/>
      </c>
      <c r="C172" s="2">
        <f>IF($B172="","",XLOOKUP($B172,tblEmployeeMaster[employee_id],tblEmployeeMaster[employee_name],""))</f>
        <v/>
      </c>
      <c r="D172" s="2">
        <f>IF($B172="","",XLOOKUP($B172,tblEmployeeMaster[employee_id],tblEmployeeMaster[department],""))</f>
        <v/>
      </c>
      <c r="E172" s="2">
        <f>IF($A172="","",INDEX(tblResourceInput[work_date],ROW()-1))</f>
        <v/>
      </c>
      <c r="F172" s="2">
        <f>IF($A172="","",INDEX(tblResourceInput[project_id],ROW()-1))</f>
        <v/>
      </c>
      <c r="G172" s="2">
        <f>IF($F172="","",XLOOKUP($F172,tblProjectMaster[project_id],tblProjectMaster[project_name],""))</f>
        <v/>
      </c>
      <c r="H172" s="2">
        <f>IF($A172="","",INDEX(tblResourceInput[task_name],ROW()-1))</f>
        <v/>
      </c>
      <c r="I172" s="2">
        <f>IF($A172="","",INDEX(tblResourceInput[planned_hours],ROW()-1))</f>
        <v/>
      </c>
      <c r="J172" s="2">
        <f>IF($B172="","",XLOOKUP($B172,tblEmployeeMaster[employee_id],tblEmployeeMaster[daily_capacity_hours],0))</f>
        <v/>
      </c>
      <c r="K172" s="2">
        <f>IF($B172="","",SUMIFS(tblResourceInput[planned_hours],tblResourceInput[employee_id],$B172,tblResourceInput[work_date],$E172))</f>
        <v/>
      </c>
      <c r="L172" s="5">
        <f>IFERROR($K172/$J172,0)</f>
        <v/>
      </c>
      <c r="M172" s="2">
        <f>IF($A172="","",IF($K172&gt;$J172,"OVER","OK"))</f>
        <v/>
      </c>
      <c r="N172" s="2">
        <f>IF($A172="","",MAX($J172-$K172,0))</f>
        <v/>
      </c>
      <c r="O172" s="5">
        <f>IF($F172="","",MAXIFS(tblProgressInput[progress_percent],tblProgressInput[project_id],$F172))</f>
        <v/>
      </c>
      <c r="P172" s="2">
        <f>IF($F172="","",XLOOKUP($F172,tblProgressInput[project_id],tblProgressInput[progress_status],"Not Started",0,-1))</f>
        <v/>
      </c>
      <c r="Q172" s="2">
        <f>IF($F172="","",XLOOKUP($F172,tblProgressInput[project_id],tblProgressInput[issue_flag],"",0,-1))</f>
        <v/>
      </c>
    </row>
    <row r="173">
      <c r="A173" s="2">
        <f>IFERROR(INDEX(tblResourceInput[entry_id],ROW()-1),"")</f>
        <v/>
      </c>
      <c r="B173" s="2">
        <f>IF($A173="","",INDEX(tblResourceInput[employee_id],ROW()-1))</f>
        <v/>
      </c>
      <c r="C173" s="2">
        <f>IF($B173="","",XLOOKUP($B173,tblEmployeeMaster[employee_id],tblEmployeeMaster[employee_name],""))</f>
        <v/>
      </c>
      <c r="D173" s="2">
        <f>IF($B173="","",XLOOKUP($B173,tblEmployeeMaster[employee_id],tblEmployeeMaster[department],""))</f>
        <v/>
      </c>
      <c r="E173" s="2">
        <f>IF($A173="","",INDEX(tblResourceInput[work_date],ROW()-1))</f>
        <v/>
      </c>
      <c r="F173" s="2">
        <f>IF($A173="","",INDEX(tblResourceInput[project_id],ROW()-1))</f>
        <v/>
      </c>
      <c r="G173" s="2">
        <f>IF($F173="","",XLOOKUP($F173,tblProjectMaster[project_id],tblProjectMaster[project_name],""))</f>
        <v/>
      </c>
      <c r="H173" s="2">
        <f>IF($A173="","",INDEX(tblResourceInput[task_name],ROW()-1))</f>
        <v/>
      </c>
      <c r="I173" s="2">
        <f>IF($A173="","",INDEX(tblResourceInput[planned_hours],ROW()-1))</f>
        <v/>
      </c>
      <c r="J173" s="2">
        <f>IF($B173="","",XLOOKUP($B173,tblEmployeeMaster[employee_id],tblEmployeeMaster[daily_capacity_hours],0))</f>
        <v/>
      </c>
      <c r="K173" s="2">
        <f>IF($B173="","",SUMIFS(tblResourceInput[planned_hours],tblResourceInput[employee_id],$B173,tblResourceInput[work_date],$E173))</f>
        <v/>
      </c>
      <c r="L173" s="5">
        <f>IFERROR($K173/$J173,0)</f>
        <v/>
      </c>
      <c r="M173" s="2">
        <f>IF($A173="","",IF($K173&gt;$J173,"OVER","OK"))</f>
        <v/>
      </c>
      <c r="N173" s="2">
        <f>IF($A173="","",MAX($J173-$K173,0))</f>
        <v/>
      </c>
      <c r="O173" s="5">
        <f>IF($F173="","",MAXIFS(tblProgressInput[progress_percent],tblProgressInput[project_id],$F173))</f>
        <v/>
      </c>
      <c r="P173" s="2">
        <f>IF($F173="","",XLOOKUP($F173,tblProgressInput[project_id],tblProgressInput[progress_status],"Not Started",0,-1))</f>
        <v/>
      </c>
      <c r="Q173" s="2">
        <f>IF($F173="","",XLOOKUP($F173,tblProgressInput[project_id],tblProgressInput[issue_flag],"",0,-1))</f>
        <v/>
      </c>
    </row>
    <row r="174">
      <c r="A174" s="2">
        <f>IFERROR(INDEX(tblResourceInput[entry_id],ROW()-1),"")</f>
        <v/>
      </c>
      <c r="B174" s="2">
        <f>IF($A174="","",INDEX(tblResourceInput[employee_id],ROW()-1))</f>
        <v/>
      </c>
      <c r="C174" s="2">
        <f>IF($B174="","",XLOOKUP($B174,tblEmployeeMaster[employee_id],tblEmployeeMaster[employee_name],""))</f>
        <v/>
      </c>
      <c r="D174" s="2">
        <f>IF($B174="","",XLOOKUP($B174,tblEmployeeMaster[employee_id],tblEmployeeMaster[department],""))</f>
        <v/>
      </c>
      <c r="E174" s="2">
        <f>IF($A174="","",INDEX(tblResourceInput[work_date],ROW()-1))</f>
        <v/>
      </c>
      <c r="F174" s="2">
        <f>IF($A174="","",INDEX(tblResourceInput[project_id],ROW()-1))</f>
        <v/>
      </c>
      <c r="G174" s="2">
        <f>IF($F174="","",XLOOKUP($F174,tblProjectMaster[project_id],tblProjectMaster[project_name],""))</f>
        <v/>
      </c>
      <c r="H174" s="2">
        <f>IF($A174="","",INDEX(tblResourceInput[task_name],ROW()-1))</f>
        <v/>
      </c>
      <c r="I174" s="2">
        <f>IF($A174="","",INDEX(tblResourceInput[planned_hours],ROW()-1))</f>
        <v/>
      </c>
      <c r="J174" s="2">
        <f>IF($B174="","",XLOOKUP($B174,tblEmployeeMaster[employee_id],tblEmployeeMaster[daily_capacity_hours],0))</f>
        <v/>
      </c>
      <c r="K174" s="2">
        <f>IF($B174="","",SUMIFS(tblResourceInput[planned_hours],tblResourceInput[employee_id],$B174,tblResourceInput[work_date],$E174))</f>
        <v/>
      </c>
      <c r="L174" s="5">
        <f>IFERROR($K174/$J174,0)</f>
        <v/>
      </c>
      <c r="M174" s="2">
        <f>IF($A174="","",IF($K174&gt;$J174,"OVER","OK"))</f>
        <v/>
      </c>
      <c r="N174" s="2">
        <f>IF($A174="","",MAX($J174-$K174,0))</f>
        <v/>
      </c>
      <c r="O174" s="5">
        <f>IF($F174="","",MAXIFS(tblProgressInput[progress_percent],tblProgressInput[project_id],$F174))</f>
        <v/>
      </c>
      <c r="P174" s="2">
        <f>IF($F174="","",XLOOKUP($F174,tblProgressInput[project_id],tblProgressInput[progress_status],"Not Started",0,-1))</f>
        <v/>
      </c>
      <c r="Q174" s="2">
        <f>IF($F174="","",XLOOKUP($F174,tblProgressInput[project_id],tblProgressInput[issue_flag],"",0,-1))</f>
        <v/>
      </c>
    </row>
    <row r="175">
      <c r="A175" s="2">
        <f>IFERROR(INDEX(tblResourceInput[entry_id],ROW()-1),"")</f>
        <v/>
      </c>
      <c r="B175" s="2">
        <f>IF($A175="","",INDEX(tblResourceInput[employee_id],ROW()-1))</f>
        <v/>
      </c>
      <c r="C175" s="2">
        <f>IF($B175="","",XLOOKUP($B175,tblEmployeeMaster[employee_id],tblEmployeeMaster[employee_name],""))</f>
        <v/>
      </c>
      <c r="D175" s="2">
        <f>IF($B175="","",XLOOKUP($B175,tblEmployeeMaster[employee_id],tblEmployeeMaster[department],""))</f>
        <v/>
      </c>
      <c r="E175" s="2">
        <f>IF($A175="","",INDEX(tblResourceInput[work_date],ROW()-1))</f>
        <v/>
      </c>
      <c r="F175" s="2">
        <f>IF($A175="","",INDEX(tblResourceInput[project_id],ROW()-1))</f>
        <v/>
      </c>
      <c r="G175" s="2">
        <f>IF($F175="","",XLOOKUP($F175,tblProjectMaster[project_id],tblProjectMaster[project_name],""))</f>
        <v/>
      </c>
      <c r="H175" s="2">
        <f>IF($A175="","",INDEX(tblResourceInput[task_name],ROW()-1))</f>
        <v/>
      </c>
      <c r="I175" s="2">
        <f>IF($A175="","",INDEX(tblResourceInput[planned_hours],ROW()-1))</f>
        <v/>
      </c>
      <c r="J175" s="2">
        <f>IF($B175="","",XLOOKUP($B175,tblEmployeeMaster[employee_id],tblEmployeeMaster[daily_capacity_hours],0))</f>
        <v/>
      </c>
      <c r="K175" s="2">
        <f>IF($B175="","",SUMIFS(tblResourceInput[planned_hours],tblResourceInput[employee_id],$B175,tblResourceInput[work_date],$E175))</f>
        <v/>
      </c>
      <c r="L175" s="5">
        <f>IFERROR($K175/$J175,0)</f>
        <v/>
      </c>
      <c r="M175" s="2">
        <f>IF($A175="","",IF($K175&gt;$J175,"OVER","OK"))</f>
        <v/>
      </c>
      <c r="N175" s="2">
        <f>IF($A175="","",MAX($J175-$K175,0))</f>
        <v/>
      </c>
      <c r="O175" s="5">
        <f>IF($F175="","",MAXIFS(tblProgressInput[progress_percent],tblProgressInput[project_id],$F175))</f>
        <v/>
      </c>
      <c r="P175" s="2">
        <f>IF($F175="","",XLOOKUP($F175,tblProgressInput[project_id],tblProgressInput[progress_status],"Not Started",0,-1))</f>
        <v/>
      </c>
      <c r="Q175" s="2">
        <f>IF($F175="","",XLOOKUP($F175,tblProgressInput[project_id],tblProgressInput[issue_flag],"",0,-1))</f>
        <v/>
      </c>
    </row>
    <row r="176">
      <c r="A176" s="2">
        <f>IFERROR(INDEX(tblResourceInput[entry_id],ROW()-1),"")</f>
        <v/>
      </c>
      <c r="B176" s="2">
        <f>IF($A176="","",INDEX(tblResourceInput[employee_id],ROW()-1))</f>
        <v/>
      </c>
      <c r="C176" s="2">
        <f>IF($B176="","",XLOOKUP($B176,tblEmployeeMaster[employee_id],tblEmployeeMaster[employee_name],""))</f>
        <v/>
      </c>
      <c r="D176" s="2">
        <f>IF($B176="","",XLOOKUP($B176,tblEmployeeMaster[employee_id],tblEmployeeMaster[department],""))</f>
        <v/>
      </c>
      <c r="E176" s="2">
        <f>IF($A176="","",INDEX(tblResourceInput[work_date],ROW()-1))</f>
        <v/>
      </c>
      <c r="F176" s="2">
        <f>IF($A176="","",INDEX(tblResourceInput[project_id],ROW()-1))</f>
        <v/>
      </c>
      <c r="G176" s="2">
        <f>IF($F176="","",XLOOKUP($F176,tblProjectMaster[project_id],tblProjectMaster[project_name],""))</f>
        <v/>
      </c>
      <c r="H176" s="2">
        <f>IF($A176="","",INDEX(tblResourceInput[task_name],ROW()-1))</f>
        <v/>
      </c>
      <c r="I176" s="2">
        <f>IF($A176="","",INDEX(tblResourceInput[planned_hours],ROW()-1))</f>
        <v/>
      </c>
      <c r="J176" s="2">
        <f>IF($B176="","",XLOOKUP($B176,tblEmployeeMaster[employee_id],tblEmployeeMaster[daily_capacity_hours],0))</f>
        <v/>
      </c>
      <c r="K176" s="2">
        <f>IF($B176="","",SUMIFS(tblResourceInput[planned_hours],tblResourceInput[employee_id],$B176,tblResourceInput[work_date],$E176))</f>
        <v/>
      </c>
      <c r="L176" s="5">
        <f>IFERROR($K176/$J176,0)</f>
        <v/>
      </c>
      <c r="M176" s="2">
        <f>IF($A176="","",IF($K176&gt;$J176,"OVER","OK"))</f>
        <v/>
      </c>
      <c r="N176" s="2">
        <f>IF($A176="","",MAX($J176-$K176,0))</f>
        <v/>
      </c>
      <c r="O176" s="5">
        <f>IF($F176="","",MAXIFS(tblProgressInput[progress_percent],tblProgressInput[project_id],$F176))</f>
        <v/>
      </c>
      <c r="P176" s="2">
        <f>IF($F176="","",XLOOKUP($F176,tblProgressInput[project_id],tblProgressInput[progress_status],"Not Started",0,-1))</f>
        <v/>
      </c>
      <c r="Q176" s="2">
        <f>IF($F176="","",XLOOKUP($F176,tblProgressInput[project_id],tblProgressInput[issue_flag],"",0,-1))</f>
        <v/>
      </c>
    </row>
    <row r="177">
      <c r="A177" s="2">
        <f>IFERROR(INDEX(tblResourceInput[entry_id],ROW()-1),"")</f>
        <v/>
      </c>
      <c r="B177" s="2">
        <f>IF($A177="","",INDEX(tblResourceInput[employee_id],ROW()-1))</f>
        <v/>
      </c>
      <c r="C177" s="2">
        <f>IF($B177="","",XLOOKUP($B177,tblEmployeeMaster[employee_id],tblEmployeeMaster[employee_name],""))</f>
        <v/>
      </c>
      <c r="D177" s="2">
        <f>IF($B177="","",XLOOKUP($B177,tblEmployeeMaster[employee_id],tblEmployeeMaster[department],""))</f>
        <v/>
      </c>
      <c r="E177" s="2">
        <f>IF($A177="","",INDEX(tblResourceInput[work_date],ROW()-1))</f>
        <v/>
      </c>
      <c r="F177" s="2">
        <f>IF($A177="","",INDEX(tblResourceInput[project_id],ROW()-1))</f>
        <v/>
      </c>
      <c r="G177" s="2">
        <f>IF($F177="","",XLOOKUP($F177,tblProjectMaster[project_id],tblProjectMaster[project_name],""))</f>
        <v/>
      </c>
      <c r="H177" s="2">
        <f>IF($A177="","",INDEX(tblResourceInput[task_name],ROW()-1))</f>
        <v/>
      </c>
      <c r="I177" s="2">
        <f>IF($A177="","",INDEX(tblResourceInput[planned_hours],ROW()-1))</f>
        <v/>
      </c>
      <c r="J177" s="2">
        <f>IF($B177="","",XLOOKUP($B177,tblEmployeeMaster[employee_id],tblEmployeeMaster[daily_capacity_hours],0))</f>
        <v/>
      </c>
      <c r="K177" s="2">
        <f>IF($B177="","",SUMIFS(tblResourceInput[planned_hours],tblResourceInput[employee_id],$B177,tblResourceInput[work_date],$E177))</f>
        <v/>
      </c>
      <c r="L177" s="5">
        <f>IFERROR($K177/$J177,0)</f>
        <v/>
      </c>
      <c r="M177" s="2">
        <f>IF($A177="","",IF($K177&gt;$J177,"OVER","OK"))</f>
        <v/>
      </c>
      <c r="N177" s="2">
        <f>IF($A177="","",MAX($J177-$K177,0))</f>
        <v/>
      </c>
      <c r="O177" s="5">
        <f>IF($F177="","",MAXIFS(tblProgressInput[progress_percent],tblProgressInput[project_id],$F177))</f>
        <v/>
      </c>
      <c r="P177" s="2">
        <f>IF($F177="","",XLOOKUP($F177,tblProgressInput[project_id],tblProgressInput[progress_status],"Not Started",0,-1))</f>
        <v/>
      </c>
      <c r="Q177" s="2">
        <f>IF($F177="","",XLOOKUP($F177,tblProgressInput[project_id],tblProgressInput[issue_flag],"",0,-1))</f>
        <v/>
      </c>
    </row>
    <row r="178">
      <c r="A178" s="2">
        <f>IFERROR(INDEX(tblResourceInput[entry_id],ROW()-1),"")</f>
        <v/>
      </c>
      <c r="B178" s="2">
        <f>IF($A178="","",INDEX(tblResourceInput[employee_id],ROW()-1))</f>
        <v/>
      </c>
      <c r="C178" s="2">
        <f>IF($B178="","",XLOOKUP($B178,tblEmployeeMaster[employee_id],tblEmployeeMaster[employee_name],""))</f>
        <v/>
      </c>
      <c r="D178" s="2">
        <f>IF($B178="","",XLOOKUP($B178,tblEmployeeMaster[employee_id],tblEmployeeMaster[department],""))</f>
        <v/>
      </c>
      <c r="E178" s="2">
        <f>IF($A178="","",INDEX(tblResourceInput[work_date],ROW()-1))</f>
        <v/>
      </c>
      <c r="F178" s="2">
        <f>IF($A178="","",INDEX(tblResourceInput[project_id],ROW()-1))</f>
        <v/>
      </c>
      <c r="G178" s="2">
        <f>IF($F178="","",XLOOKUP($F178,tblProjectMaster[project_id],tblProjectMaster[project_name],""))</f>
        <v/>
      </c>
      <c r="H178" s="2">
        <f>IF($A178="","",INDEX(tblResourceInput[task_name],ROW()-1))</f>
        <v/>
      </c>
      <c r="I178" s="2">
        <f>IF($A178="","",INDEX(tblResourceInput[planned_hours],ROW()-1))</f>
        <v/>
      </c>
      <c r="J178" s="2">
        <f>IF($B178="","",XLOOKUP($B178,tblEmployeeMaster[employee_id],tblEmployeeMaster[daily_capacity_hours],0))</f>
        <v/>
      </c>
      <c r="K178" s="2">
        <f>IF($B178="","",SUMIFS(tblResourceInput[planned_hours],tblResourceInput[employee_id],$B178,tblResourceInput[work_date],$E178))</f>
        <v/>
      </c>
      <c r="L178" s="5">
        <f>IFERROR($K178/$J178,0)</f>
        <v/>
      </c>
      <c r="M178" s="2">
        <f>IF($A178="","",IF($K178&gt;$J178,"OVER","OK"))</f>
        <v/>
      </c>
      <c r="N178" s="2">
        <f>IF($A178="","",MAX($J178-$K178,0))</f>
        <v/>
      </c>
      <c r="O178" s="5">
        <f>IF($F178="","",MAXIFS(tblProgressInput[progress_percent],tblProgressInput[project_id],$F178))</f>
        <v/>
      </c>
      <c r="P178" s="2">
        <f>IF($F178="","",XLOOKUP($F178,tblProgressInput[project_id],tblProgressInput[progress_status],"Not Started",0,-1))</f>
        <v/>
      </c>
      <c r="Q178" s="2">
        <f>IF($F178="","",XLOOKUP($F178,tblProgressInput[project_id],tblProgressInput[issue_flag],"",0,-1))</f>
        <v/>
      </c>
    </row>
    <row r="179">
      <c r="A179" s="2">
        <f>IFERROR(INDEX(tblResourceInput[entry_id],ROW()-1),"")</f>
        <v/>
      </c>
      <c r="B179" s="2">
        <f>IF($A179="","",INDEX(tblResourceInput[employee_id],ROW()-1))</f>
        <v/>
      </c>
      <c r="C179" s="2">
        <f>IF($B179="","",XLOOKUP($B179,tblEmployeeMaster[employee_id],tblEmployeeMaster[employee_name],""))</f>
        <v/>
      </c>
      <c r="D179" s="2">
        <f>IF($B179="","",XLOOKUP($B179,tblEmployeeMaster[employee_id],tblEmployeeMaster[department],""))</f>
        <v/>
      </c>
      <c r="E179" s="2">
        <f>IF($A179="","",INDEX(tblResourceInput[work_date],ROW()-1))</f>
        <v/>
      </c>
      <c r="F179" s="2">
        <f>IF($A179="","",INDEX(tblResourceInput[project_id],ROW()-1))</f>
        <v/>
      </c>
      <c r="G179" s="2">
        <f>IF($F179="","",XLOOKUP($F179,tblProjectMaster[project_id],tblProjectMaster[project_name],""))</f>
        <v/>
      </c>
      <c r="H179" s="2">
        <f>IF($A179="","",INDEX(tblResourceInput[task_name],ROW()-1))</f>
        <v/>
      </c>
      <c r="I179" s="2">
        <f>IF($A179="","",INDEX(tblResourceInput[planned_hours],ROW()-1))</f>
        <v/>
      </c>
      <c r="J179" s="2">
        <f>IF($B179="","",XLOOKUP($B179,tblEmployeeMaster[employee_id],tblEmployeeMaster[daily_capacity_hours],0))</f>
        <v/>
      </c>
      <c r="K179" s="2">
        <f>IF($B179="","",SUMIFS(tblResourceInput[planned_hours],tblResourceInput[employee_id],$B179,tblResourceInput[work_date],$E179))</f>
        <v/>
      </c>
      <c r="L179" s="5">
        <f>IFERROR($K179/$J179,0)</f>
        <v/>
      </c>
      <c r="M179" s="2">
        <f>IF($A179="","",IF($K179&gt;$J179,"OVER","OK"))</f>
        <v/>
      </c>
      <c r="N179" s="2">
        <f>IF($A179="","",MAX($J179-$K179,0))</f>
        <v/>
      </c>
      <c r="O179" s="5">
        <f>IF($F179="","",MAXIFS(tblProgressInput[progress_percent],tblProgressInput[project_id],$F179))</f>
        <v/>
      </c>
      <c r="P179" s="2">
        <f>IF($F179="","",XLOOKUP($F179,tblProgressInput[project_id],tblProgressInput[progress_status],"Not Started",0,-1))</f>
        <v/>
      </c>
      <c r="Q179" s="2">
        <f>IF($F179="","",XLOOKUP($F179,tblProgressInput[project_id],tblProgressInput[issue_flag],"",0,-1))</f>
        <v/>
      </c>
    </row>
    <row r="180">
      <c r="A180" s="2">
        <f>IFERROR(INDEX(tblResourceInput[entry_id],ROW()-1),"")</f>
        <v/>
      </c>
      <c r="B180" s="2">
        <f>IF($A180="","",INDEX(tblResourceInput[employee_id],ROW()-1))</f>
        <v/>
      </c>
      <c r="C180" s="2">
        <f>IF($B180="","",XLOOKUP($B180,tblEmployeeMaster[employee_id],tblEmployeeMaster[employee_name],""))</f>
        <v/>
      </c>
      <c r="D180" s="2">
        <f>IF($B180="","",XLOOKUP($B180,tblEmployeeMaster[employee_id],tblEmployeeMaster[department],""))</f>
        <v/>
      </c>
      <c r="E180" s="2">
        <f>IF($A180="","",INDEX(tblResourceInput[work_date],ROW()-1))</f>
        <v/>
      </c>
      <c r="F180" s="2">
        <f>IF($A180="","",INDEX(tblResourceInput[project_id],ROW()-1))</f>
        <v/>
      </c>
      <c r="G180" s="2">
        <f>IF($F180="","",XLOOKUP($F180,tblProjectMaster[project_id],tblProjectMaster[project_name],""))</f>
        <v/>
      </c>
      <c r="H180" s="2">
        <f>IF($A180="","",INDEX(tblResourceInput[task_name],ROW()-1))</f>
        <v/>
      </c>
      <c r="I180" s="2">
        <f>IF($A180="","",INDEX(tblResourceInput[planned_hours],ROW()-1))</f>
        <v/>
      </c>
      <c r="J180" s="2">
        <f>IF($B180="","",XLOOKUP($B180,tblEmployeeMaster[employee_id],tblEmployeeMaster[daily_capacity_hours],0))</f>
        <v/>
      </c>
      <c r="K180" s="2">
        <f>IF($B180="","",SUMIFS(tblResourceInput[planned_hours],tblResourceInput[employee_id],$B180,tblResourceInput[work_date],$E180))</f>
        <v/>
      </c>
      <c r="L180" s="5">
        <f>IFERROR($K180/$J180,0)</f>
        <v/>
      </c>
      <c r="M180" s="2">
        <f>IF($A180="","",IF($K180&gt;$J180,"OVER","OK"))</f>
        <v/>
      </c>
      <c r="N180" s="2">
        <f>IF($A180="","",MAX($J180-$K180,0))</f>
        <v/>
      </c>
      <c r="O180" s="5">
        <f>IF($F180="","",MAXIFS(tblProgressInput[progress_percent],tblProgressInput[project_id],$F180))</f>
        <v/>
      </c>
      <c r="P180" s="2">
        <f>IF($F180="","",XLOOKUP($F180,tblProgressInput[project_id],tblProgressInput[progress_status],"Not Started",0,-1))</f>
        <v/>
      </c>
      <c r="Q180" s="2">
        <f>IF($F180="","",XLOOKUP($F180,tblProgressInput[project_id],tblProgressInput[issue_flag],"",0,-1))</f>
        <v/>
      </c>
    </row>
    <row r="181">
      <c r="A181" s="2">
        <f>IFERROR(INDEX(tblResourceInput[entry_id],ROW()-1),"")</f>
        <v/>
      </c>
      <c r="B181" s="2">
        <f>IF($A181="","",INDEX(tblResourceInput[employee_id],ROW()-1))</f>
        <v/>
      </c>
      <c r="C181" s="2">
        <f>IF($B181="","",XLOOKUP($B181,tblEmployeeMaster[employee_id],tblEmployeeMaster[employee_name],""))</f>
        <v/>
      </c>
      <c r="D181" s="2">
        <f>IF($B181="","",XLOOKUP($B181,tblEmployeeMaster[employee_id],tblEmployeeMaster[department],""))</f>
        <v/>
      </c>
      <c r="E181" s="2">
        <f>IF($A181="","",INDEX(tblResourceInput[work_date],ROW()-1))</f>
        <v/>
      </c>
      <c r="F181" s="2">
        <f>IF($A181="","",INDEX(tblResourceInput[project_id],ROW()-1))</f>
        <v/>
      </c>
      <c r="G181" s="2">
        <f>IF($F181="","",XLOOKUP($F181,tblProjectMaster[project_id],tblProjectMaster[project_name],""))</f>
        <v/>
      </c>
      <c r="H181" s="2">
        <f>IF($A181="","",INDEX(tblResourceInput[task_name],ROW()-1))</f>
        <v/>
      </c>
      <c r="I181" s="2">
        <f>IF($A181="","",INDEX(tblResourceInput[planned_hours],ROW()-1))</f>
        <v/>
      </c>
      <c r="J181" s="2">
        <f>IF($B181="","",XLOOKUP($B181,tblEmployeeMaster[employee_id],tblEmployeeMaster[daily_capacity_hours],0))</f>
        <v/>
      </c>
      <c r="K181" s="2">
        <f>IF($B181="","",SUMIFS(tblResourceInput[planned_hours],tblResourceInput[employee_id],$B181,tblResourceInput[work_date],$E181))</f>
        <v/>
      </c>
      <c r="L181" s="5">
        <f>IFERROR($K181/$J181,0)</f>
        <v/>
      </c>
      <c r="M181" s="2">
        <f>IF($A181="","",IF($K181&gt;$J181,"OVER","OK"))</f>
        <v/>
      </c>
      <c r="N181" s="2">
        <f>IF($A181="","",MAX($J181-$K181,0))</f>
        <v/>
      </c>
      <c r="O181" s="5">
        <f>IF($F181="","",MAXIFS(tblProgressInput[progress_percent],tblProgressInput[project_id],$F181))</f>
        <v/>
      </c>
      <c r="P181" s="2">
        <f>IF($F181="","",XLOOKUP($F181,tblProgressInput[project_id],tblProgressInput[progress_status],"Not Started",0,-1))</f>
        <v/>
      </c>
      <c r="Q181" s="2">
        <f>IF($F181="","",XLOOKUP($F181,tblProgressInput[project_id],tblProgressInput[issue_flag],"",0,-1))</f>
        <v/>
      </c>
    </row>
    <row r="182">
      <c r="A182" s="2">
        <f>IFERROR(INDEX(tblResourceInput[entry_id],ROW()-1),"")</f>
        <v/>
      </c>
      <c r="B182" s="2">
        <f>IF($A182="","",INDEX(tblResourceInput[employee_id],ROW()-1))</f>
        <v/>
      </c>
      <c r="C182" s="2">
        <f>IF($B182="","",XLOOKUP($B182,tblEmployeeMaster[employee_id],tblEmployeeMaster[employee_name],""))</f>
        <v/>
      </c>
      <c r="D182" s="2">
        <f>IF($B182="","",XLOOKUP($B182,tblEmployeeMaster[employee_id],tblEmployeeMaster[department],""))</f>
        <v/>
      </c>
      <c r="E182" s="2">
        <f>IF($A182="","",INDEX(tblResourceInput[work_date],ROW()-1))</f>
        <v/>
      </c>
      <c r="F182" s="2">
        <f>IF($A182="","",INDEX(tblResourceInput[project_id],ROW()-1))</f>
        <v/>
      </c>
      <c r="G182" s="2">
        <f>IF($F182="","",XLOOKUP($F182,tblProjectMaster[project_id],tblProjectMaster[project_name],""))</f>
        <v/>
      </c>
      <c r="H182" s="2">
        <f>IF($A182="","",INDEX(tblResourceInput[task_name],ROW()-1))</f>
        <v/>
      </c>
      <c r="I182" s="2">
        <f>IF($A182="","",INDEX(tblResourceInput[planned_hours],ROW()-1))</f>
        <v/>
      </c>
      <c r="J182" s="2">
        <f>IF($B182="","",XLOOKUP($B182,tblEmployeeMaster[employee_id],tblEmployeeMaster[daily_capacity_hours],0))</f>
        <v/>
      </c>
      <c r="K182" s="2">
        <f>IF($B182="","",SUMIFS(tblResourceInput[planned_hours],tblResourceInput[employee_id],$B182,tblResourceInput[work_date],$E182))</f>
        <v/>
      </c>
      <c r="L182" s="5">
        <f>IFERROR($K182/$J182,0)</f>
        <v/>
      </c>
      <c r="M182" s="2">
        <f>IF($A182="","",IF($K182&gt;$J182,"OVER","OK"))</f>
        <v/>
      </c>
      <c r="N182" s="2">
        <f>IF($A182="","",MAX($J182-$K182,0))</f>
        <v/>
      </c>
      <c r="O182" s="5">
        <f>IF($F182="","",MAXIFS(tblProgressInput[progress_percent],tblProgressInput[project_id],$F182))</f>
        <v/>
      </c>
      <c r="P182" s="2">
        <f>IF($F182="","",XLOOKUP($F182,tblProgressInput[project_id],tblProgressInput[progress_status],"Not Started",0,-1))</f>
        <v/>
      </c>
      <c r="Q182" s="2">
        <f>IF($F182="","",XLOOKUP($F182,tblProgressInput[project_id],tblProgressInput[issue_flag],"",0,-1))</f>
        <v/>
      </c>
    </row>
    <row r="183">
      <c r="A183" s="2">
        <f>IFERROR(INDEX(tblResourceInput[entry_id],ROW()-1),"")</f>
        <v/>
      </c>
      <c r="B183" s="2">
        <f>IF($A183="","",INDEX(tblResourceInput[employee_id],ROW()-1))</f>
        <v/>
      </c>
      <c r="C183" s="2">
        <f>IF($B183="","",XLOOKUP($B183,tblEmployeeMaster[employee_id],tblEmployeeMaster[employee_name],""))</f>
        <v/>
      </c>
      <c r="D183" s="2">
        <f>IF($B183="","",XLOOKUP($B183,tblEmployeeMaster[employee_id],tblEmployeeMaster[department],""))</f>
        <v/>
      </c>
      <c r="E183" s="2">
        <f>IF($A183="","",INDEX(tblResourceInput[work_date],ROW()-1))</f>
        <v/>
      </c>
      <c r="F183" s="2">
        <f>IF($A183="","",INDEX(tblResourceInput[project_id],ROW()-1))</f>
        <v/>
      </c>
      <c r="G183" s="2">
        <f>IF($F183="","",XLOOKUP($F183,tblProjectMaster[project_id],tblProjectMaster[project_name],""))</f>
        <v/>
      </c>
      <c r="H183" s="2">
        <f>IF($A183="","",INDEX(tblResourceInput[task_name],ROW()-1))</f>
        <v/>
      </c>
      <c r="I183" s="2">
        <f>IF($A183="","",INDEX(tblResourceInput[planned_hours],ROW()-1))</f>
        <v/>
      </c>
      <c r="J183" s="2">
        <f>IF($B183="","",XLOOKUP($B183,tblEmployeeMaster[employee_id],tblEmployeeMaster[daily_capacity_hours],0))</f>
        <v/>
      </c>
      <c r="K183" s="2">
        <f>IF($B183="","",SUMIFS(tblResourceInput[planned_hours],tblResourceInput[employee_id],$B183,tblResourceInput[work_date],$E183))</f>
        <v/>
      </c>
      <c r="L183" s="5">
        <f>IFERROR($K183/$J183,0)</f>
        <v/>
      </c>
      <c r="M183" s="2">
        <f>IF($A183="","",IF($K183&gt;$J183,"OVER","OK"))</f>
        <v/>
      </c>
      <c r="N183" s="2">
        <f>IF($A183="","",MAX($J183-$K183,0))</f>
        <v/>
      </c>
      <c r="O183" s="5">
        <f>IF($F183="","",MAXIFS(tblProgressInput[progress_percent],tblProgressInput[project_id],$F183))</f>
        <v/>
      </c>
      <c r="P183" s="2">
        <f>IF($F183="","",XLOOKUP($F183,tblProgressInput[project_id],tblProgressInput[progress_status],"Not Started",0,-1))</f>
        <v/>
      </c>
      <c r="Q183" s="2">
        <f>IF($F183="","",XLOOKUP($F183,tblProgressInput[project_id],tblProgressInput[issue_flag],"",0,-1))</f>
        <v/>
      </c>
    </row>
    <row r="184">
      <c r="A184" s="2">
        <f>IFERROR(INDEX(tblResourceInput[entry_id],ROW()-1),"")</f>
        <v/>
      </c>
      <c r="B184" s="2">
        <f>IF($A184="","",INDEX(tblResourceInput[employee_id],ROW()-1))</f>
        <v/>
      </c>
      <c r="C184" s="2">
        <f>IF($B184="","",XLOOKUP($B184,tblEmployeeMaster[employee_id],tblEmployeeMaster[employee_name],""))</f>
        <v/>
      </c>
      <c r="D184" s="2">
        <f>IF($B184="","",XLOOKUP($B184,tblEmployeeMaster[employee_id],tblEmployeeMaster[department],""))</f>
        <v/>
      </c>
      <c r="E184" s="2">
        <f>IF($A184="","",INDEX(tblResourceInput[work_date],ROW()-1))</f>
        <v/>
      </c>
      <c r="F184" s="2">
        <f>IF($A184="","",INDEX(tblResourceInput[project_id],ROW()-1))</f>
        <v/>
      </c>
      <c r="G184" s="2">
        <f>IF($F184="","",XLOOKUP($F184,tblProjectMaster[project_id],tblProjectMaster[project_name],""))</f>
        <v/>
      </c>
      <c r="H184" s="2">
        <f>IF($A184="","",INDEX(tblResourceInput[task_name],ROW()-1))</f>
        <v/>
      </c>
      <c r="I184" s="2">
        <f>IF($A184="","",INDEX(tblResourceInput[planned_hours],ROW()-1))</f>
        <v/>
      </c>
      <c r="J184" s="2">
        <f>IF($B184="","",XLOOKUP($B184,tblEmployeeMaster[employee_id],tblEmployeeMaster[daily_capacity_hours],0))</f>
        <v/>
      </c>
      <c r="K184" s="2">
        <f>IF($B184="","",SUMIFS(tblResourceInput[planned_hours],tblResourceInput[employee_id],$B184,tblResourceInput[work_date],$E184))</f>
        <v/>
      </c>
      <c r="L184" s="5">
        <f>IFERROR($K184/$J184,0)</f>
        <v/>
      </c>
      <c r="M184" s="2">
        <f>IF($A184="","",IF($K184&gt;$J184,"OVER","OK"))</f>
        <v/>
      </c>
      <c r="N184" s="2">
        <f>IF($A184="","",MAX($J184-$K184,0))</f>
        <v/>
      </c>
      <c r="O184" s="5">
        <f>IF($F184="","",MAXIFS(tblProgressInput[progress_percent],tblProgressInput[project_id],$F184))</f>
        <v/>
      </c>
      <c r="P184" s="2">
        <f>IF($F184="","",XLOOKUP($F184,tblProgressInput[project_id],tblProgressInput[progress_status],"Not Started",0,-1))</f>
        <v/>
      </c>
      <c r="Q184" s="2">
        <f>IF($F184="","",XLOOKUP($F184,tblProgressInput[project_id],tblProgressInput[issue_flag],"",0,-1))</f>
        <v/>
      </c>
    </row>
    <row r="185">
      <c r="A185" s="2">
        <f>IFERROR(INDEX(tblResourceInput[entry_id],ROW()-1),"")</f>
        <v/>
      </c>
      <c r="B185" s="2">
        <f>IF($A185="","",INDEX(tblResourceInput[employee_id],ROW()-1))</f>
        <v/>
      </c>
      <c r="C185" s="2">
        <f>IF($B185="","",XLOOKUP($B185,tblEmployeeMaster[employee_id],tblEmployeeMaster[employee_name],""))</f>
        <v/>
      </c>
      <c r="D185" s="2">
        <f>IF($B185="","",XLOOKUP($B185,tblEmployeeMaster[employee_id],tblEmployeeMaster[department],""))</f>
        <v/>
      </c>
      <c r="E185" s="2">
        <f>IF($A185="","",INDEX(tblResourceInput[work_date],ROW()-1))</f>
        <v/>
      </c>
      <c r="F185" s="2">
        <f>IF($A185="","",INDEX(tblResourceInput[project_id],ROW()-1))</f>
        <v/>
      </c>
      <c r="G185" s="2">
        <f>IF($F185="","",XLOOKUP($F185,tblProjectMaster[project_id],tblProjectMaster[project_name],""))</f>
        <v/>
      </c>
      <c r="H185" s="2">
        <f>IF($A185="","",INDEX(tblResourceInput[task_name],ROW()-1))</f>
        <v/>
      </c>
      <c r="I185" s="2">
        <f>IF($A185="","",INDEX(tblResourceInput[planned_hours],ROW()-1))</f>
        <v/>
      </c>
      <c r="J185" s="2">
        <f>IF($B185="","",XLOOKUP($B185,tblEmployeeMaster[employee_id],tblEmployeeMaster[daily_capacity_hours],0))</f>
        <v/>
      </c>
      <c r="K185" s="2">
        <f>IF($B185="","",SUMIFS(tblResourceInput[planned_hours],tblResourceInput[employee_id],$B185,tblResourceInput[work_date],$E185))</f>
        <v/>
      </c>
      <c r="L185" s="5">
        <f>IFERROR($K185/$J185,0)</f>
        <v/>
      </c>
      <c r="M185" s="2">
        <f>IF($A185="","",IF($K185&gt;$J185,"OVER","OK"))</f>
        <v/>
      </c>
      <c r="N185" s="2">
        <f>IF($A185="","",MAX($J185-$K185,0))</f>
        <v/>
      </c>
      <c r="O185" s="5">
        <f>IF($F185="","",MAXIFS(tblProgressInput[progress_percent],tblProgressInput[project_id],$F185))</f>
        <v/>
      </c>
      <c r="P185" s="2">
        <f>IF($F185="","",XLOOKUP($F185,tblProgressInput[project_id],tblProgressInput[progress_status],"Not Started",0,-1))</f>
        <v/>
      </c>
      <c r="Q185" s="2">
        <f>IF($F185="","",XLOOKUP($F185,tblProgressInput[project_id],tblProgressInput[issue_flag],"",0,-1))</f>
        <v/>
      </c>
    </row>
    <row r="186">
      <c r="A186" s="2">
        <f>IFERROR(INDEX(tblResourceInput[entry_id],ROW()-1),"")</f>
        <v/>
      </c>
      <c r="B186" s="2">
        <f>IF($A186="","",INDEX(tblResourceInput[employee_id],ROW()-1))</f>
        <v/>
      </c>
      <c r="C186" s="2">
        <f>IF($B186="","",XLOOKUP($B186,tblEmployeeMaster[employee_id],tblEmployeeMaster[employee_name],""))</f>
        <v/>
      </c>
      <c r="D186" s="2">
        <f>IF($B186="","",XLOOKUP($B186,tblEmployeeMaster[employee_id],tblEmployeeMaster[department],""))</f>
        <v/>
      </c>
      <c r="E186" s="2">
        <f>IF($A186="","",INDEX(tblResourceInput[work_date],ROW()-1))</f>
        <v/>
      </c>
      <c r="F186" s="2">
        <f>IF($A186="","",INDEX(tblResourceInput[project_id],ROW()-1))</f>
        <v/>
      </c>
      <c r="G186" s="2">
        <f>IF($F186="","",XLOOKUP($F186,tblProjectMaster[project_id],tblProjectMaster[project_name],""))</f>
        <v/>
      </c>
      <c r="H186" s="2">
        <f>IF($A186="","",INDEX(tblResourceInput[task_name],ROW()-1))</f>
        <v/>
      </c>
      <c r="I186" s="2">
        <f>IF($A186="","",INDEX(tblResourceInput[planned_hours],ROW()-1))</f>
        <v/>
      </c>
      <c r="J186" s="2">
        <f>IF($B186="","",XLOOKUP($B186,tblEmployeeMaster[employee_id],tblEmployeeMaster[daily_capacity_hours],0))</f>
        <v/>
      </c>
      <c r="K186" s="2">
        <f>IF($B186="","",SUMIFS(tblResourceInput[planned_hours],tblResourceInput[employee_id],$B186,tblResourceInput[work_date],$E186))</f>
        <v/>
      </c>
      <c r="L186" s="5">
        <f>IFERROR($K186/$J186,0)</f>
        <v/>
      </c>
      <c r="M186" s="2">
        <f>IF($A186="","",IF($K186&gt;$J186,"OVER","OK"))</f>
        <v/>
      </c>
      <c r="N186" s="2">
        <f>IF($A186="","",MAX($J186-$K186,0))</f>
        <v/>
      </c>
      <c r="O186" s="5">
        <f>IF($F186="","",MAXIFS(tblProgressInput[progress_percent],tblProgressInput[project_id],$F186))</f>
        <v/>
      </c>
      <c r="P186" s="2">
        <f>IF($F186="","",XLOOKUP($F186,tblProgressInput[project_id],tblProgressInput[progress_status],"Not Started",0,-1))</f>
        <v/>
      </c>
      <c r="Q186" s="2">
        <f>IF($F186="","",XLOOKUP($F186,tblProgressInput[project_id],tblProgressInput[issue_flag],"",0,-1))</f>
        <v/>
      </c>
    </row>
    <row r="187">
      <c r="A187" s="2">
        <f>IFERROR(INDEX(tblResourceInput[entry_id],ROW()-1),"")</f>
        <v/>
      </c>
      <c r="B187" s="2">
        <f>IF($A187="","",INDEX(tblResourceInput[employee_id],ROW()-1))</f>
        <v/>
      </c>
      <c r="C187" s="2">
        <f>IF($B187="","",XLOOKUP($B187,tblEmployeeMaster[employee_id],tblEmployeeMaster[employee_name],""))</f>
        <v/>
      </c>
      <c r="D187" s="2">
        <f>IF($B187="","",XLOOKUP($B187,tblEmployeeMaster[employee_id],tblEmployeeMaster[department],""))</f>
        <v/>
      </c>
      <c r="E187" s="2">
        <f>IF($A187="","",INDEX(tblResourceInput[work_date],ROW()-1))</f>
        <v/>
      </c>
      <c r="F187" s="2">
        <f>IF($A187="","",INDEX(tblResourceInput[project_id],ROW()-1))</f>
        <v/>
      </c>
      <c r="G187" s="2">
        <f>IF($F187="","",XLOOKUP($F187,tblProjectMaster[project_id],tblProjectMaster[project_name],""))</f>
        <v/>
      </c>
      <c r="H187" s="2">
        <f>IF($A187="","",INDEX(tblResourceInput[task_name],ROW()-1))</f>
        <v/>
      </c>
      <c r="I187" s="2">
        <f>IF($A187="","",INDEX(tblResourceInput[planned_hours],ROW()-1))</f>
        <v/>
      </c>
      <c r="J187" s="2">
        <f>IF($B187="","",XLOOKUP($B187,tblEmployeeMaster[employee_id],tblEmployeeMaster[daily_capacity_hours],0))</f>
        <v/>
      </c>
      <c r="K187" s="2">
        <f>IF($B187="","",SUMIFS(tblResourceInput[planned_hours],tblResourceInput[employee_id],$B187,tblResourceInput[work_date],$E187))</f>
        <v/>
      </c>
      <c r="L187" s="5">
        <f>IFERROR($K187/$J187,0)</f>
        <v/>
      </c>
      <c r="M187" s="2">
        <f>IF($A187="","",IF($K187&gt;$J187,"OVER","OK"))</f>
        <v/>
      </c>
      <c r="N187" s="2">
        <f>IF($A187="","",MAX($J187-$K187,0))</f>
        <v/>
      </c>
      <c r="O187" s="5">
        <f>IF($F187="","",MAXIFS(tblProgressInput[progress_percent],tblProgressInput[project_id],$F187))</f>
        <v/>
      </c>
      <c r="P187" s="2">
        <f>IF($F187="","",XLOOKUP($F187,tblProgressInput[project_id],tblProgressInput[progress_status],"Not Started",0,-1))</f>
        <v/>
      </c>
      <c r="Q187" s="2">
        <f>IF($F187="","",XLOOKUP($F187,tblProgressInput[project_id],tblProgressInput[issue_flag],"",0,-1))</f>
        <v/>
      </c>
    </row>
    <row r="188">
      <c r="A188" s="2">
        <f>IFERROR(INDEX(tblResourceInput[entry_id],ROW()-1),"")</f>
        <v/>
      </c>
      <c r="B188" s="2">
        <f>IF($A188="","",INDEX(tblResourceInput[employee_id],ROW()-1))</f>
        <v/>
      </c>
      <c r="C188" s="2">
        <f>IF($B188="","",XLOOKUP($B188,tblEmployeeMaster[employee_id],tblEmployeeMaster[employee_name],""))</f>
        <v/>
      </c>
      <c r="D188" s="2">
        <f>IF($B188="","",XLOOKUP($B188,tblEmployeeMaster[employee_id],tblEmployeeMaster[department],""))</f>
        <v/>
      </c>
      <c r="E188" s="2">
        <f>IF($A188="","",INDEX(tblResourceInput[work_date],ROW()-1))</f>
        <v/>
      </c>
      <c r="F188" s="2">
        <f>IF($A188="","",INDEX(tblResourceInput[project_id],ROW()-1))</f>
        <v/>
      </c>
      <c r="G188" s="2">
        <f>IF($F188="","",XLOOKUP($F188,tblProjectMaster[project_id],tblProjectMaster[project_name],""))</f>
        <v/>
      </c>
      <c r="H188" s="2">
        <f>IF($A188="","",INDEX(tblResourceInput[task_name],ROW()-1))</f>
        <v/>
      </c>
      <c r="I188" s="2">
        <f>IF($A188="","",INDEX(tblResourceInput[planned_hours],ROW()-1))</f>
        <v/>
      </c>
      <c r="J188" s="2">
        <f>IF($B188="","",XLOOKUP($B188,tblEmployeeMaster[employee_id],tblEmployeeMaster[daily_capacity_hours],0))</f>
        <v/>
      </c>
      <c r="K188" s="2">
        <f>IF($B188="","",SUMIFS(tblResourceInput[planned_hours],tblResourceInput[employee_id],$B188,tblResourceInput[work_date],$E188))</f>
        <v/>
      </c>
      <c r="L188" s="5">
        <f>IFERROR($K188/$J188,0)</f>
        <v/>
      </c>
      <c r="M188" s="2">
        <f>IF($A188="","",IF($K188&gt;$J188,"OVER","OK"))</f>
        <v/>
      </c>
      <c r="N188" s="2">
        <f>IF($A188="","",MAX($J188-$K188,0))</f>
        <v/>
      </c>
      <c r="O188" s="5">
        <f>IF($F188="","",MAXIFS(tblProgressInput[progress_percent],tblProgressInput[project_id],$F188))</f>
        <v/>
      </c>
      <c r="P188" s="2">
        <f>IF($F188="","",XLOOKUP($F188,tblProgressInput[project_id],tblProgressInput[progress_status],"Not Started",0,-1))</f>
        <v/>
      </c>
      <c r="Q188" s="2">
        <f>IF($F188="","",XLOOKUP($F188,tblProgressInput[project_id],tblProgressInput[issue_flag],"",0,-1))</f>
        <v/>
      </c>
    </row>
    <row r="189">
      <c r="A189" s="2">
        <f>IFERROR(INDEX(tblResourceInput[entry_id],ROW()-1),"")</f>
        <v/>
      </c>
      <c r="B189" s="2">
        <f>IF($A189="","",INDEX(tblResourceInput[employee_id],ROW()-1))</f>
        <v/>
      </c>
      <c r="C189" s="2">
        <f>IF($B189="","",XLOOKUP($B189,tblEmployeeMaster[employee_id],tblEmployeeMaster[employee_name],""))</f>
        <v/>
      </c>
      <c r="D189" s="2">
        <f>IF($B189="","",XLOOKUP($B189,tblEmployeeMaster[employee_id],tblEmployeeMaster[department],""))</f>
        <v/>
      </c>
      <c r="E189" s="2">
        <f>IF($A189="","",INDEX(tblResourceInput[work_date],ROW()-1))</f>
        <v/>
      </c>
      <c r="F189" s="2">
        <f>IF($A189="","",INDEX(tblResourceInput[project_id],ROW()-1))</f>
        <v/>
      </c>
      <c r="G189" s="2">
        <f>IF($F189="","",XLOOKUP($F189,tblProjectMaster[project_id],tblProjectMaster[project_name],""))</f>
        <v/>
      </c>
      <c r="H189" s="2">
        <f>IF($A189="","",INDEX(tblResourceInput[task_name],ROW()-1))</f>
        <v/>
      </c>
      <c r="I189" s="2">
        <f>IF($A189="","",INDEX(tblResourceInput[planned_hours],ROW()-1))</f>
        <v/>
      </c>
      <c r="J189" s="2">
        <f>IF($B189="","",XLOOKUP($B189,tblEmployeeMaster[employee_id],tblEmployeeMaster[daily_capacity_hours],0))</f>
        <v/>
      </c>
      <c r="K189" s="2">
        <f>IF($B189="","",SUMIFS(tblResourceInput[planned_hours],tblResourceInput[employee_id],$B189,tblResourceInput[work_date],$E189))</f>
        <v/>
      </c>
      <c r="L189" s="5">
        <f>IFERROR($K189/$J189,0)</f>
        <v/>
      </c>
      <c r="M189" s="2">
        <f>IF($A189="","",IF($K189&gt;$J189,"OVER","OK"))</f>
        <v/>
      </c>
      <c r="N189" s="2">
        <f>IF($A189="","",MAX($J189-$K189,0))</f>
        <v/>
      </c>
      <c r="O189" s="5">
        <f>IF($F189="","",MAXIFS(tblProgressInput[progress_percent],tblProgressInput[project_id],$F189))</f>
        <v/>
      </c>
      <c r="P189" s="2">
        <f>IF($F189="","",XLOOKUP($F189,tblProgressInput[project_id],tblProgressInput[progress_status],"Not Started",0,-1))</f>
        <v/>
      </c>
      <c r="Q189" s="2">
        <f>IF($F189="","",XLOOKUP($F189,tblProgressInput[project_id],tblProgressInput[issue_flag],"",0,-1))</f>
        <v/>
      </c>
    </row>
    <row r="190">
      <c r="A190" s="2">
        <f>IFERROR(INDEX(tblResourceInput[entry_id],ROW()-1),"")</f>
        <v/>
      </c>
      <c r="B190" s="2">
        <f>IF($A190="","",INDEX(tblResourceInput[employee_id],ROW()-1))</f>
        <v/>
      </c>
      <c r="C190" s="2">
        <f>IF($B190="","",XLOOKUP($B190,tblEmployeeMaster[employee_id],tblEmployeeMaster[employee_name],""))</f>
        <v/>
      </c>
      <c r="D190" s="2">
        <f>IF($B190="","",XLOOKUP($B190,tblEmployeeMaster[employee_id],tblEmployeeMaster[department],""))</f>
        <v/>
      </c>
      <c r="E190" s="2">
        <f>IF($A190="","",INDEX(tblResourceInput[work_date],ROW()-1))</f>
        <v/>
      </c>
      <c r="F190" s="2">
        <f>IF($A190="","",INDEX(tblResourceInput[project_id],ROW()-1))</f>
        <v/>
      </c>
      <c r="G190" s="2">
        <f>IF($F190="","",XLOOKUP($F190,tblProjectMaster[project_id],tblProjectMaster[project_name],""))</f>
        <v/>
      </c>
      <c r="H190" s="2">
        <f>IF($A190="","",INDEX(tblResourceInput[task_name],ROW()-1))</f>
        <v/>
      </c>
      <c r="I190" s="2">
        <f>IF($A190="","",INDEX(tblResourceInput[planned_hours],ROW()-1))</f>
        <v/>
      </c>
      <c r="J190" s="2">
        <f>IF($B190="","",XLOOKUP($B190,tblEmployeeMaster[employee_id],tblEmployeeMaster[daily_capacity_hours],0))</f>
        <v/>
      </c>
      <c r="K190" s="2">
        <f>IF($B190="","",SUMIFS(tblResourceInput[planned_hours],tblResourceInput[employee_id],$B190,tblResourceInput[work_date],$E190))</f>
        <v/>
      </c>
      <c r="L190" s="5">
        <f>IFERROR($K190/$J190,0)</f>
        <v/>
      </c>
      <c r="M190" s="2">
        <f>IF($A190="","",IF($K190&gt;$J190,"OVER","OK"))</f>
        <v/>
      </c>
      <c r="N190" s="2">
        <f>IF($A190="","",MAX($J190-$K190,0))</f>
        <v/>
      </c>
      <c r="O190" s="5">
        <f>IF($F190="","",MAXIFS(tblProgressInput[progress_percent],tblProgressInput[project_id],$F190))</f>
        <v/>
      </c>
      <c r="P190" s="2">
        <f>IF($F190="","",XLOOKUP($F190,tblProgressInput[project_id],tblProgressInput[progress_status],"Not Started",0,-1))</f>
        <v/>
      </c>
      <c r="Q190" s="2">
        <f>IF($F190="","",XLOOKUP($F190,tblProgressInput[project_id],tblProgressInput[issue_flag],"",0,-1))</f>
        <v/>
      </c>
    </row>
    <row r="191">
      <c r="A191" s="2">
        <f>IFERROR(INDEX(tblResourceInput[entry_id],ROW()-1),"")</f>
        <v/>
      </c>
      <c r="B191" s="2">
        <f>IF($A191="","",INDEX(tblResourceInput[employee_id],ROW()-1))</f>
        <v/>
      </c>
      <c r="C191" s="2">
        <f>IF($B191="","",XLOOKUP($B191,tblEmployeeMaster[employee_id],tblEmployeeMaster[employee_name],""))</f>
        <v/>
      </c>
      <c r="D191" s="2">
        <f>IF($B191="","",XLOOKUP($B191,tblEmployeeMaster[employee_id],tblEmployeeMaster[department],""))</f>
        <v/>
      </c>
      <c r="E191" s="2">
        <f>IF($A191="","",INDEX(tblResourceInput[work_date],ROW()-1))</f>
        <v/>
      </c>
      <c r="F191" s="2">
        <f>IF($A191="","",INDEX(tblResourceInput[project_id],ROW()-1))</f>
        <v/>
      </c>
      <c r="G191" s="2">
        <f>IF($F191="","",XLOOKUP($F191,tblProjectMaster[project_id],tblProjectMaster[project_name],""))</f>
        <v/>
      </c>
      <c r="H191" s="2">
        <f>IF($A191="","",INDEX(tblResourceInput[task_name],ROW()-1))</f>
        <v/>
      </c>
      <c r="I191" s="2">
        <f>IF($A191="","",INDEX(tblResourceInput[planned_hours],ROW()-1))</f>
        <v/>
      </c>
      <c r="J191" s="2">
        <f>IF($B191="","",XLOOKUP($B191,tblEmployeeMaster[employee_id],tblEmployeeMaster[daily_capacity_hours],0))</f>
        <v/>
      </c>
      <c r="K191" s="2">
        <f>IF($B191="","",SUMIFS(tblResourceInput[planned_hours],tblResourceInput[employee_id],$B191,tblResourceInput[work_date],$E191))</f>
        <v/>
      </c>
      <c r="L191" s="5">
        <f>IFERROR($K191/$J191,0)</f>
        <v/>
      </c>
      <c r="M191" s="2">
        <f>IF($A191="","",IF($K191&gt;$J191,"OVER","OK"))</f>
        <v/>
      </c>
      <c r="N191" s="2">
        <f>IF($A191="","",MAX($J191-$K191,0))</f>
        <v/>
      </c>
      <c r="O191" s="5">
        <f>IF($F191="","",MAXIFS(tblProgressInput[progress_percent],tblProgressInput[project_id],$F191))</f>
        <v/>
      </c>
      <c r="P191" s="2">
        <f>IF($F191="","",XLOOKUP($F191,tblProgressInput[project_id],tblProgressInput[progress_status],"Not Started",0,-1))</f>
        <v/>
      </c>
      <c r="Q191" s="2">
        <f>IF($F191="","",XLOOKUP($F191,tblProgressInput[project_id],tblProgressInput[issue_flag],"",0,-1))</f>
        <v/>
      </c>
    </row>
    <row r="192">
      <c r="A192" s="2">
        <f>IFERROR(INDEX(tblResourceInput[entry_id],ROW()-1),"")</f>
        <v/>
      </c>
      <c r="B192" s="2">
        <f>IF($A192="","",INDEX(tblResourceInput[employee_id],ROW()-1))</f>
        <v/>
      </c>
      <c r="C192" s="2">
        <f>IF($B192="","",XLOOKUP($B192,tblEmployeeMaster[employee_id],tblEmployeeMaster[employee_name],""))</f>
        <v/>
      </c>
      <c r="D192" s="2">
        <f>IF($B192="","",XLOOKUP($B192,tblEmployeeMaster[employee_id],tblEmployeeMaster[department],""))</f>
        <v/>
      </c>
      <c r="E192" s="2">
        <f>IF($A192="","",INDEX(tblResourceInput[work_date],ROW()-1))</f>
        <v/>
      </c>
      <c r="F192" s="2">
        <f>IF($A192="","",INDEX(tblResourceInput[project_id],ROW()-1))</f>
        <v/>
      </c>
      <c r="G192" s="2">
        <f>IF($F192="","",XLOOKUP($F192,tblProjectMaster[project_id],tblProjectMaster[project_name],""))</f>
        <v/>
      </c>
      <c r="H192" s="2">
        <f>IF($A192="","",INDEX(tblResourceInput[task_name],ROW()-1))</f>
        <v/>
      </c>
      <c r="I192" s="2">
        <f>IF($A192="","",INDEX(tblResourceInput[planned_hours],ROW()-1))</f>
        <v/>
      </c>
      <c r="J192" s="2">
        <f>IF($B192="","",XLOOKUP($B192,tblEmployeeMaster[employee_id],tblEmployeeMaster[daily_capacity_hours],0))</f>
        <v/>
      </c>
      <c r="K192" s="2">
        <f>IF($B192="","",SUMIFS(tblResourceInput[planned_hours],tblResourceInput[employee_id],$B192,tblResourceInput[work_date],$E192))</f>
        <v/>
      </c>
      <c r="L192" s="5">
        <f>IFERROR($K192/$J192,0)</f>
        <v/>
      </c>
      <c r="M192" s="2">
        <f>IF($A192="","",IF($K192&gt;$J192,"OVER","OK"))</f>
        <v/>
      </c>
      <c r="N192" s="2">
        <f>IF($A192="","",MAX($J192-$K192,0))</f>
        <v/>
      </c>
      <c r="O192" s="5">
        <f>IF($F192="","",MAXIFS(tblProgressInput[progress_percent],tblProgressInput[project_id],$F192))</f>
        <v/>
      </c>
      <c r="P192" s="2">
        <f>IF($F192="","",XLOOKUP($F192,tblProgressInput[project_id],tblProgressInput[progress_status],"Not Started",0,-1))</f>
        <v/>
      </c>
      <c r="Q192" s="2">
        <f>IF($F192="","",XLOOKUP($F192,tblProgressInput[project_id],tblProgressInput[issue_flag],"",0,-1))</f>
        <v/>
      </c>
    </row>
    <row r="193">
      <c r="A193" s="2">
        <f>IFERROR(INDEX(tblResourceInput[entry_id],ROW()-1),"")</f>
        <v/>
      </c>
      <c r="B193" s="2">
        <f>IF($A193="","",INDEX(tblResourceInput[employee_id],ROW()-1))</f>
        <v/>
      </c>
      <c r="C193" s="2">
        <f>IF($B193="","",XLOOKUP($B193,tblEmployeeMaster[employee_id],tblEmployeeMaster[employee_name],""))</f>
        <v/>
      </c>
      <c r="D193" s="2">
        <f>IF($B193="","",XLOOKUP($B193,tblEmployeeMaster[employee_id],tblEmployeeMaster[department],""))</f>
        <v/>
      </c>
      <c r="E193" s="2">
        <f>IF($A193="","",INDEX(tblResourceInput[work_date],ROW()-1))</f>
        <v/>
      </c>
      <c r="F193" s="2">
        <f>IF($A193="","",INDEX(tblResourceInput[project_id],ROW()-1))</f>
        <v/>
      </c>
      <c r="G193" s="2">
        <f>IF($F193="","",XLOOKUP($F193,tblProjectMaster[project_id],tblProjectMaster[project_name],""))</f>
        <v/>
      </c>
      <c r="H193" s="2">
        <f>IF($A193="","",INDEX(tblResourceInput[task_name],ROW()-1))</f>
        <v/>
      </c>
      <c r="I193" s="2">
        <f>IF($A193="","",INDEX(tblResourceInput[planned_hours],ROW()-1))</f>
        <v/>
      </c>
      <c r="J193" s="2">
        <f>IF($B193="","",XLOOKUP($B193,tblEmployeeMaster[employee_id],tblEmployeeMaster[daily_capacity_hours],0))</f>
        <v/>
      </c>
      <c r="K193" s="2">
        <f>IF($B193="","",SUMIFS(tblResourceInput[planned_hours],tblResourceInput[employee_id],$B193,tblResourceInput[work_date],$E193))</f>
        <v/>
      </c>
      <c r="L193" s="5">
        <f>IFERROR($K193/$J193,0)</f>
        <v/>
      </c>
      <c r="M193" s="2">
        <f>IF($A193="","",IF($K193&gt;$J193,"OVER","OK"))</f>
        <v/>
      </c>
      <c r="N193" s="2">
        <f>IF($A193="","",MAX($J193-$K193,0))</f>
        <v/>
      </c>
      <c r="O193" s="5">
        <f>IF($F193="","",MAXIFS(tblProgressInput[progress_percent],tblProgressInput[project_id],$F193))</f>
        <v/>
      </c>
      <c r="P193" s="2">
        <f>IF($F193="","",XLOOKUP($F193,tblProgressInput[project_id],tblProgressInput[progress_status],"Not Started",0,-1))</f>
        <v/>
      </c>
      <c r="Q193" s="2">
        <f>IF($F193="","",XLOOKUP($F193,tblProgressInput[project_id],tblProgressInput[issue_flag],"",0,-1))</f>
        <v/>
      </c>
    </row>
    <row r="194">
      <c r="A194" s="2">
        <f>IFERROR(INDEX(tblResourceInput[entry_id],ROW()-1),"")</f>
        <v/>
      </c>
      <c r="B194" s="2">
        <f>IF($A194="","",INDEX(tblResourceInput[employee_id],ROW()-1))</f>
        <v/>
      </c>
      <c r="C194" s="2">
        <f>IF($B194="","",XLOOKUP($B194,tblEmployeeMaster[employee_id],tblEmployeeMaster[employee_name],""))</f>
        <v/>
      </c>
      <c r="D194" s="2">
        <f>IF($B194="","",XLOOKUP($B194,tblEmployeeMaster[employee_id],tblEmployeeMaster[department],""))</f>
        <v/>
      </c>
      <c r="E194" s="2">
        <f>IF($A194="","",INDEX(tblResourceInput[work_date],ROW()-1))</f>
        <v/>
      </c>
      <c r="F194" s="2">
        <f>IF($A194="","",INDEX(tblResourceInput[project_id],ROW()-1))</f>
        <v/>
      </c>
      <c r="G194" s="2">
        <f>IF($F194="","",XLOOKUP($F194,tblProjectMaster[project_id],tblProjectMaster[project_name],""))</f>
        <v/>
      </c>
      <c r="H194" s="2">
        <f>IF($A194="","",INDEX(tblResourceInput[task_name],ROW()-1))</f>
        <v/>
      </c>
      <c r="I194" s="2">
        <f>IF($A194="","",INDEX(tblResourceInput[planned_hours],ROW()-1))</f>
        <v/>
      </c>
      <c r="J194" s="2">
        <f>IF($B194="","",XLOOKUP($B194,tblEmployeeMaster[employee_id],tblEmployeeMaster[daily_capacity_hours],0))</f>
        <v/>
      </c>
      <c r="K194" s="2">
        <f>IF($B194="","",SUMIFS(tblResourceInput[planned_hours],tblResourceInput[employee_id],$B194,tblResourceInput[work_date],$E194))</f>
        <v/>
      </c>
      <c r="L194" s="5">
        <f>IFERROR($K194/$J194,0)</f>
        <v/>
      </c>
      <c r="M194" s="2">
        <f>IF($A194="","",IF($K194&gt;$J194,"OVER","OK"))</f>
        <v/>
      </c>
      <c r="N194" s="2">
        <f>IF($A194="","",MAX($J194-$K194,0))</f>
        <v/>
      </c>
      <c r="O194" s="5">
        <f>IF($F194="","",MAXIFS(tblProgressInput[progress_percent],tblProgressInput[project_id],$F194))</f>
        <v/>
      </c>
      <c r="P194" s="2">
        <f>IF($F194="","",XLOOKUP($F194,tblProgressInput[project_id],tblProgressInput[progress_status],"Not Started",0,-1))</f>
        <v/>
      </c>
      <c r="Q194" s="2">
        <f>IF($F194="","",XLOOKUP($F194,tblProgressInput[project_id],tblProgressInput[issue_flag],"",0,-1))</f>
        <v/>
      </c>
    </row>
    <row r="195">
      <c r="A195" s="2">
        <f>IFERROR(INDEX(tblResourceInput[entry_id],ROW()-1),"")</f>
        <v/>
      </c>
      <c r="B195" s="2">
        <f>IF($A195="","",INDEX(tblResourceInput[employee_id],ROW()-1))</f>
        <v/>
      </c>
      <c r="C195" s="2">
        <f>IF($B195="","",XLOOKUP($B195,tblEmployeeMaster[employee_id],tblEmployeeMaster[employee_name],""))</f>
        <v/>
      </c>
      <c r="D195" s="2">
        <f>IF($B195="","",XLOOKUP($B195,tblEmployeeMaster[employee_id],tblEmployeeMaster[department],""))</f>
        <v/>
      </c>
      <c r="E195" s="2">
        <f>IF($A195="","",INDEX(tblResourceInput[work_date],ROW()-1))</f>
        <v/>
      </c>
      <c r="F195" s="2">
        <f>IF($A195="","",INDEX(tblResourceInput[project_id],ROW()-1))</f>
        <v/>
      </c>
      <c r="G195" s="2">
        <f>IF($F195="","",XLOOKUP($F195,tblProjectMaster[project_id],tblProjectMaster[project_name],""))</f>
        <v/>
      </c>
      <c r="H195" s="2">
        <f>IF($A195="","",INDEX(tblResourceInput[task_name],ROW()-1))</f>
        <v/>
      </c>
      <c r="I195" s="2">
        <f>IF($A195="","",INDEX(tblResourceInput[planned_hours],ROW()-1))</f>
        <v/>
      </c>
      <c r="J195" s="2">
        <f>IF($B195="","",XLOOKUP($B195,tblEmployeeMaster[employee_id],tblEmployeeMaster[daily_capacity_hours],0))</f>
        <v/>
      </c>
      <c r="K195" s="2">
        <f>IF($B195="","",SUMIFS(tblResourceInput[planned_hours],tblResourceInput[employee_id],$B195,tblResourceInput[work_date],$E195))</f>
        <v/>
      </c>
      <c r="L195" s="5">
        <f>IFERROR($K195/$J195,0)</f>
        <v/>
      </c>
      <c r="M195" s="2">
        <f>IF($A195="","",IF($K195&gt;$J195,"OVER","OK"))</f>
        <v/>
      </c>
      <c r="N195" s="2">
        <f>IF($A195="","",MAX($J195-$K195,0))</f>
        <v/>
      </c>
      <c r="O195" s="5">
        <f>IF($F195="","",MAXIFS(tblProgressInput[progress_percent],tblProgressInput[project_id],$F195))</f>
        <v/>
      </c>
      <c r="P195" s="2">
        <f>IF($F195="","",XLOOKUP($F195,tblProgressInput[project_id],tblProgressInput[progress_status],"Not Started",0,-1))</f>
        <v/>
      </c>
      <c r="Q195" s="2">
        <f>IF($F195="","",XLOOKUP($F195,tblProgressInput[project_id],tblProgressInput[issue_flag],"",0,-1))</f>
        <v/>
      </c>
    </row>
    <row r="196">
      <c r="A196" s="2">
        <f>IFERROR(INDEX(tblResourceInput[entry_id],ROW()-1),"")</f>
        <v/>
      </c>
      <c r="B196" s="2">
        <f>IF($A196="","",INDEX(tblResourceInput[employee_id],ROW()-1))</f>
        <v/>
      </c>
      <c r="C196" s="2">
        <f>IF($B196="","",XLOOKUP($B196,tblEmployeeMaster[employee_id],tblEmployeeMaster[employee_name],""))</f>
        <v/>
      </c>
      <c r="D196" s="2">
        <f>IF($B196="","",XLOOKUP($B196,tblEmployeeMaster[employee_id],tblEmployeeMaster[department],""))</f>
        <v/>
      </c>
      <c r="E196" s="2">
        <f>IF($A196="","",INDEX(tblResourceInput[work_date],ROW()-1))</f>
        <v/>
      </c>
      <c r="F196" s="2">
        <f>IF($A196="","",INDEX(tblResourceInput[project_id],ROW()-1))</f>
        <v/>
      </c>
      <c r="G196" s="2">
        <f>IF($F196="","",XLOOKUP($F196,tblProjectMaster[project_id],tblProjectMaster[project_name],""))</f>
        <v/>
      </c>
      <c r="H196" s="2">
        <f>IF($A196="","",INDEX(tblResourceInput[task_name],ROW()-1))</f>
        <v/>
      </c>
      <c r="I196" s="2">
        <f>IF($A196="","",INDEX(tblResourceInput[planned_hours],ROW()-1))</f>
        <v/>
      </c>
      <c r="J196" s="2">
        <f>IF($B196="","",XLOOKUP($B196,tblEmployeeMaster[employee_id],tblEmployeeMaster[daily_capacity_hours],0))</f>
        <v/>
      </c>
      <c r="K196" s="2">
        <f>IF($B196="","",SUMIFS(tblResourceInput[planned_hours],tblResourceInput[employee_id],$B196,tblResourceInput[work_date],$E196))</f>
        <v/>
      </c>
      <c r="L196" s="5">
        <f>IFERROR($K196/$J196,0)</f>
        <v/>
      </c>
      <c r="M196" s="2">
        <f>IF($A196="","",IF($K196&gt;$J196,"OVER","OK"))</f>
        <v/>
      </c>
      <c r="N196" s="2">
        <f>IF($A196="","",MAX($J196-$K196,0))</f>
        <v/>
      </c>
      <c r="O196" s="5">
        <f>IF($F196="","",MAXIFS(tblProgressInput[progress_percent],tblProgressInput[project_id],$F196))</f>
        <v/>
      </c>
      <c r="P196" s="2">
        <f>IF($F196="","",XLOOKUP($F196,tblProgressInput[project_id],tblProgressInput[progress_status],"Not Started",0,-1))</f>
        <v/>
      </c>
      <c r="Q196" s="2">
        <f>IF($F196="","",XLOOKUP($F196,tblProgressInput[project_id],tblProgressInput[issue_flag],"",0,-1))</f>
        <v/>
      </c>
    </row>
    <row r="197">
      <c r="A197" s="2">
        <f>IFERROR(INDEX(tblResourceInput[entry_id],ROW()-1),"")</f>
        <v/>
      </c>
      <c r="B197" s="2">
        <f>IF($A197="","",INDEX(tblResourceInput[employee_id],ROW()-1))</f>
        <v/>
      </c>
      <c r="C197" s="2">
        <f>IF($B197="","",XLOOKUP($B197,tblEmployeeMaster[employee_id],tblEmployeeMaster[employee_name],""))</f>
        <v/>
      </c>
      <c r="D197" s="2">
        <f>IF($B197="","",XLOOKUP($B197,tblEmployeeMaster[employee_id],tblEmployeeMaster[department],""))</f>
        <v/>
      </c>
      <c r="E197" s="2">
        <f>IF($A197="","",INDEX(tblResourceInput[work_date],ROW()-1))</f>
        <v/>
      </c>
      <c r="F197" s="2">
        <f>IF($A197="","",INDEX(tblResourceInput[project_id],ROW()-1))</f>
        <v/>
      </c>
      <c r="G197" s="2">
        <f>IF($F197="","",XLOOKUP($F197,tblProjectMaster[project_id],tblProjectMaster[project_name],""))</f>
        <v/>
      </c>
      <c r="H197" s="2">
        <f>IF($A197="","",INDEX(tblResourceInput[task_name],ROW()-1))</f>
        <v/>
      </c>
      <c r="I197" s="2">
        <f>IF($A197="","",INDEX(tblResourceInput[planned_hours],ROW()-1))</f>
        <v/>
      </c>
      <c r="J197" s="2">
        <f>IF($B197="","",XLOOKUP($B197,tblEmployeeMaster[employee_id],tblEmployeeMaster[daily_capacity_hours],0))</f>
        <v/>
      </c>
      <c r="K197" s="2">
        <f>IF($B197="","",SUMIFS(tblResourceInput[planned_hours],tblResourceInput[employee_id],$B197,tblResourceInput[work_date],$E197))</f>
        <v/>
      </c>
      <c r="L197" s="5">
        <f>IFERROR($K197/$J197,0)</f>
        <v/>
      </c>
      <c r="M197" s="2">
        <f>IF($A197="","",IF($K197&gt;$J197,"OVER","OK"))</f>
        <v/>
      </c>
      <c r="N197" s="2">
        <f>IF($A197="","",MAX($J197-$K197,0))</f>
        <v/>
      </c>
      <c r="O197" s="5">
        <f>IF($F197="","",MAXIFS(tblProgressInput[progress_percent],tblProgressInput[project_id],$F197))</f>
        <v/>
      </c>
      <c r="P197" s="2">
        <f>IF($F197="","",XLOOKUP($F197,tblProgressInput[project_id],tblProgressInput[progress_status],"Not Started",0,-1))</f>
        <v/>
      </c>
      <c r="Q197" s="2">
        <f>IF($F197="","",XLOOKUP($F197,tblProgressInput[project_id],tblProgressInput[issue_flag],"",0,-1))</f>
        <v/>
      </c>
    </row>
    <row r="198">
      <c r="A198" s="2">
        <f>IFERROR(INDEX(tblResourceInput[entry_id],ROW()-1),"")</f>
        <v/>
      </c>
      <c r="B198" s="2">
        <f>IF($A198="","",INDEX(tblResourceInput[employee_id],ROW()-1))</f>
        <v/>
      </c>
      <c r="C198" s="2">
        <f>IF($B198="","",XLOOKUP($B198,tblEmployeeMaster[employee_id],tblEmployeeMaster[employee_name],""))</f>
        <v/>
      </c>
      <c r="D198" s="2">
        <f>IF($B198="","",XLOOKUP($B198,tblEmployeeMaster[employee_id],tblEmployeeMaster[department],""))</f>
        <v/>
      </c>
      <c r="E198" s="2">
        <f>IF($A198="","",INDEX(tblResourceInput[work_date],ROW()-1))</f>
        <v/>
      </c>
      <c r="F198" s="2">
        <f>IF($A198="","",INDEX(tblResourceInput[project_id],ROW()-1))</f>
        <v/>
      </c>
      <c r="G198" s="2">
        <f>IF($F198="","",XLOOKUP($F198,tblProjectMaster[project_id],tblProjectMaster[project_name],""))</f>
        <v/>
      </c>
      <c r="H198" s="2">
        <f>IF($A198="","",INDEX(tblResourceInput[task_name],ROW()-1))</f>
        <v/>
      </c>
      <c r="I198" s="2">
        <f>IF($A198="","",INDEX(tblResourceInput[planned_hours],ROW()-1))</f>
        <v/>
      </c>
      <c r="J198" s="2">
        <f>IF($B198="","",XLOOKUP($B198,tblEmployeeMaster[employee_id],tblEmployeeMaster[daily_capacity_hours],0))</f>
        <v/>
      </c>
      <c r="K198" s="2">
        <f>IF($B198="","",SUMIFS(tblResourceInput[planned_hours],tblResourceInput[employee_id],$B198,tblResourceInput[work_date],$E198))</f>
        <v/>
      </c>
      <c r="L198" s="5">
        <f>IFERROR($K198/$J198,0)</f>
        <v/>
      </c>
      <c r="M198" s="2">
        <f>IF($A198="","",IF($K198&gt;$J198,"OVER","OK"))</f>
        <v/>
      </c>
      <c r="N198" s="2">
        <f>IF($A198="","",MAX($J198-$K198,0))</f>
        <v/>
      </c>
      <c r="O198" s="5">
        <f>IF($F198="","",MAXIFS(tblProgressInput[progress_percent],tblProgressInput[project_id],$F198))</f>
        <v/>
      </c>
      <c r="P198" s="2">
        <f>IF($F198="","",XLOOKUP($F198,tblProgressInput[project_id],tblProgressInput[progress_status],"Not Started",0,-1))</f>
        <v/>
      </c>
      <c r="Q198" s="2">
        <f>IF($F198="","",XLOOKUP($F198,tblProgressInput[project_id],tblProgressInput[issue_flag],"",0,-1))</f>
        <v/>
      </c>
    </row>
    <row r="199">
      <c r="A199" s="2">
        <f>IFERROR(INDEX(tblResourceInput[entry_id],ROW()-1),"")</f>
        <v/>
      </c>
      <c r="B199" s="2">
        <f>IF($A199="","",INDEX(tblResourceInput[employee_id],ROW()-1))</f>
        <v/>
      </c>
      <c r="C199" s="2">
        <f>IF($B199="","",XLOOKUP($B199,tblEmployeeMaster[employee_id],tblEmployeeMaster[employee_name],""))</f>
        <v/>
      </c>
      <c r="D199" s="2">
        <f>IF($B199="","",XLOOKUP($B199,tblEmployeeMaster[employee_id],tblEmployeeMaster[department],""))</f>
        <v/>
      </c>
      <c r="E199" s="2">
        <f>IF($A199="","",INDEX(tblResourceInput[work_date],ROW()-1))</f>
        <v/>
      </c>
      <c r="F199" s="2">
        <f>IF($A199="","",INDEX(tblResourceInput[project_id],ROW()-1))</f>
        <v/>
      </c>
      <c r="G199" s="2">
        <f>IF($F199="","",XLOOKUP($F199,tblProjectMaster[project_id],tblProjectMaster[project_name],""))</f>
        <v/>
      </c>
      <c r="H199" s="2">
        <f>IF($A199="","",INDEX(tblResourceInput[task_name],ROW()-1))</f>
        <v/>
      </c>
      <c r="I199" s="2">
        <f>IF($A199="","",INDEX(tblResourceInput[planned_hours],ROW()-1))</f>
        <v/>
      </c>
      <c r="J199" s="2">
        <f>IF($B199="","",XLOOKUP($B199,tblEmployeeMaster[employee_id],tblEmployeeMaster[daily_capacity_hours],0))</f>
        <v/>
      </c>
      <c r="K199" s="2">
        <f>IF($B199="","",SUMIFS(tblResourceInput[planned_hours],tblResourceInput[employee_id],$B199,tblResourceInput[work_date],$E199))</f>
        <v/>
      </c>
      <c r="L199" s="5">
        <f>IFERROR($K199/$J199,0)</f>
        <v/>
      </c>
      <c r="M199" s="2">
        <f>IF($A199="","",IF($K199&gt;$J199,"OVER","OK"))</f>
        <v/>
      </c>
      <c r="N199" s="2">
        <f>IF($A199="","",MAX($J199-$K199,0))</f>
        <v/>
      </c>
      <c r="O199" s="5">
        <f>IF($F199="","",MAXIFS(tblProgressInput[progress_percent],tblProgressInput[project_id],$F199))</f>
        <v/>
      </c>
      <c r="P199" s="2">
        <f>IF($F199="","",XLOOKUP($F199,tblProgressInput[project_id],tblProgressInput[progress_status],"Not Started",0,-1))</f>
        <v/>
      </c>
      <c r="Q199" s="2">
        <f>IF($F199="","",XLOOKUP($F199,tblProgressInput[project_id],tblProgressInput[issue_flag],"",0,-1))</f>
        <v/>
      </c>
    </row>
    <row r="200">
      <c r="A200" s="2">
        <f>IFERROR(INDEX(tblResourceInput[entry_id],ROW()-1),"")</f>
        <v/>
      </c>
      <c r="B200" s="2">
        <f>IF($A200="","",INDEX(tblResourceInput[employee_id],ROW()-1))</f>
        <v/>
      </c>
      <c r="C200" s="2">
        <f>IF($B200="","",XLOOKUP($B200,tblEmployeeMaster[employee_id],tblEmployeeMaster[employee_name],""))</f>
        <v/>
      </c>
      <c r="D200" s="2">
        <f>IF($B200="","",XLOOKUP($B200,tblEmployeeMaster[employee_id],tblEmployeeMaster[department],""))</f>
        <v/>
      </c>
      <c r="E200" s="2">
        <f>IF($A200="","",INDEX(tblResourceInput[work_date],ROW()-1))</f>
        <v/>
      </c>
      <c r="F200" s="2">
        <f>IF($A200="","",INDEX(tblResourceInput[project_id],ROW()-1))</f>
        <v/>
      </c>
      <c r="G200" s="2">
        <f>IF($F200="","",XLOOKUP($F200,tblProjectMaster[project_id],tblProjectMaster[project_name],""))</f>
        <v/>
      </c>
      <c r="H200" s="2">
        <f>IF($A200="","",INDEX(tblResourceInput[task_name],ROW()-1))</f>
        <v/>
      </c>
      <c r="I200" s="2">
        <f>IF($A200="","",INDEX(tblResourceInput[planned_hours],ROW()-1))</f>
        <v/>
      </c>
      <c r="J200" s="2">
        <f>IF($B200="","",XLOOKUP($B200,tblEmployeeMaster[employee_id],tblEmployeeMaster[daily_capacity_hours],0))</f>
        <v/>
      </c>
      <c r="K200" s="2">
        <f>IF($B200="","",SUMIFS(tblResourceInput[planned_hours],tblResourceInput[employee_id],$B200,tblResourceInput[work_date],$E200))</f>
        <v/>
      </c>
      <c r="L200" s="5">
        <f>IFERROR($K200/$J200,0)</f>
        <v/>
      </c>
      <c r="M200" s="2">
        <f>IF($A200="","",IF($K200&gt;$J200,"OVER","OK"))</f>
        <v/>
      </c>
      <c r="N200" s="2">
        <f>IF($A200="","",MAX($J200-$K200,0))</f>
        <v/>
      </c>
      <c r="O200" s="5">
        <f>IF($F200="","",MAXIFS(tblProgressInput[progress_percent],tblProgressInput[project_id],$F200))</f>
        <v/>
      </c>
      <c r="P200" s="2">
        <f>IF($F200="","",XLOOKUP($F200,tblProgressInput[project_id],tblProgressInput[progress_status],"Not Started",0,-1))</f>
        <v/>
      </c>
      <c r="Q200" s="2">
        <f>IF($F200="","",XLOOKUP($F200,tblProgressInput[project_id],tblProgressInput[issue_flag],"",0,-1))</f>
        <v/>
      </c>
    </row>
    <row r="201">
      <c r="A201" s="2">
        <f>IFERROR(INDEX(tblResourceInput[entry_id],ROW()-1),"")</f>
        <v/>
      </c>
      <c r="B201" s="2">
        <f>IF($A201="","",INDEX(tblResourceInput[employee_id],ROW()-1))</f>
        <v/>
      </c>
      <c r="C201" s="2">
        <f>IF($B201="","",XLOOKUP($B201,tblEmployeeMaster[employee_id],tblEmployeeMaster[employee_name],""))</f>
        <v/>
      </c>
      <c r="D201" s="2">
        <f>IF($B201="","",XLOOKUP($B201,tblEmployeeMaster[employee_id],tblEmployeeMaster[department],""))</f>
        <v/>
      </c>
      <c r="E201" s="2">
        <f>IF($A201="","",INDEX(tblResourceInput[work_date],ROW()-1))</f>
        <v/>
      </c>
      <c r="F201" s="2">
        <f>IF($A201="","",INDEX(tblResourceInput[project_id],ROW()-1))</f>
        <v/>
      </c>
      <c r="G201" s="2">
        <f>IF($F201="","",XLOOKUP($F201,tblProjectMaster[project_id],tblProjectMaster[project_name],""))</f>
        <v/>
      </c>
      <c r="H201" s="2">
        <f>IF($A201="","",INDEX(tblResourceInput[task_name],ROW()-1))</f>
        <v/>
      </c>
      <c r="I201" s="2">
        <f>IF($A201="","",INDEX(tblResourceInput[planned_hours],ROW()-1))</f>
        <v/>
      </c>
      <c r="J201" s="2">
        <f>IF($B201="","",XLOOKUP($B201,tblEmployeeMaster[employee_id],tblEmployeeMaster[daily_capacity_hours],0))</f>
        <v/>
      </c>
      <c r="K201" s="2">
        <f>IF($B201="","",SUMIFS(tblResourceInput[planned_hours],tblResourceInput[employee_id],$B201,tblResourceInput[work_date],$E201))</f>
        <v/>
      </c>
      <c r="L201" s="5">
        <f>IFERROR($K201/$J201,0)</f>
        <v/>
      </c>
      <c r="M201" s="2">
        <f>IF($A201="","",IF($K201&gt;$J201,"OVER","OK"))</f>
        <v/>
      </c>
      <c r="N201" s="2">
        <f>IF($A201="","",MAX($J201-$K201,0))</f>
        <v/>
      </c>
      <c r="O201" s="5">
        <f>IF($F201="","",MAXIFS(tblProgressInput[progress_percent],tblProgressInput[project_id],$F201))</f>
        <v/>
      </c>
      <c r="P201" s="2">
        <f>IF($F201="","",XLOOKUP($F201,tblProgressInput[project_id],tblProgressInput[progress_status],"Not Started",0,-1))</f>
        <v/>
      </c>
      <c r="Q201" s="2">
        <f>IF($F201="","",XLOOKUP($F201,tblProgressInput[project_id],tblProgressInput[issue_flag],"",0,-1))</f>
        <v/>
      </c>
    </row>
  </sheetData>
  <conditionalFormatting sqref="L2:L201">
    <cfRule type="cellIs" priority="1" operator="greaterThan" dxfId="0">
      <formula>1</formula>
    </cfRule>
  </conditionalFormatting>
  <conditionalFormatting sqref="M2:M201">
    <cfRule type="expression" priority="2" dxfId="0">
      <formula>$M2="OVER"</formula>
    </cfRule>
  </conditionalFormatting>
  <conditionalFormatting sqref="N2:N201">
    <cfRule type="cellIs" priority="3" operator="greaterThan" dxfId="1">
      <formula>0</formula>
    </cfRule>
  </conditionalFormatting>
  <conditionalFormatting sqref="Q2:Q201">
    <cfRule type="expression" priority="4" dxfId="2">
      <formula>$Q2="Y"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4" max="4"/>
    <col width="14" customWidth="1" min="5" max="5"/>
    <col width="16" customWidth="1" min="6" max="6"/>
    <col width="42" customWidth="1" min="7" max="7"/>
    <col width="14" customWidth="1" min="8" max="8"/>
    <col width="12" customWidth="1" min="9" max="9"/>
  </cols>
  <sheetData>
    <row r="1">
      <c r="A1" s="6" t="inlineStr">
        <is>
          <t>CConstructionAI Resource Dashboard</t>
        </is>
      </c>
    </row>
    <row r="2">
      <c r="A2" t="inlineStr">
        <is>
          <t>Base Date</t>
        </is>
      </c>
      <c r="B2" s="7" t="n">
        <v>46275</v>
      </c>
      <c r="F2" t="inlineStr">
        <is>
          <t>Refresh</t>
        </is>
      </c>
    </row>
    <row r="3">
      <c r="F3" s="8" t="inlineStr">
        <is>
          <t>Import RefreshAll.bas into an .xlsm copy and assign Refresh_All_Resource_Management to a button.</t>
        </is>
      </c>
    </row>
    <row r="4">
      <c r="A4" s="9" t="inlineStr">
        <is>
          <t>Metric</t>
        </is>
      </c>
      <c r="B4" s="9" t="inlineStr">
        <is>
          <t>Value</t>
        </is>
      </c>
      <c r="D4" t="inlineStr">
        <is>
          <t>Status Guide</t>
        </is>
      </c>
      <c r="H4" t="inlineStr">
        <is>
          <t>Project Status</t>
        </is>
      </c>
      <c r="I4" t="inlineStr">
        <is>
          <t>Count</t>
        </is>
      </c>
    </row>
    <row r="5">
      <c r="A5" s="9" t="inlineStr">
        <is>
          <t>Total Employees</t>
        </is>
      </c>
      <c r="B5" s="9">
        <f>COUNTA(tblEmployeeMaster[employee_id])</f>
        <v/>
      </c>
      <c r="D5" s="10" t="inlineStr">
        <is>
          <t>OVER</t>
        </is>
      </c>
      <c r="E5" t="inlineStr">
        <is>
          <t>過負荷</t>
        </is>
      </c>
      <c r="H5" t="inlineStr">
        <is>
          <t>Issue</t>
        </is>
      </c>
      <c r="I5">
        <f>COUNTIF(tblProgressInput[issue_flag],"Y")</f>
        <v/>
      </c>
    </row>
    <row r="6">
      <c r="A6" s="9" t="inlineStr">
        <is>
          <t>Active Projects</t>
        </is>
      </c>
      <c r="B6" s="9">
        <f>COUNTIF(tblProjectMaster[status],"&lt;&gt;Closed")</f>
        <v/>
      </c>
      <c r="D6" s="11" t="inlineStr">
        <is>
          <t>Y</t>
        </is>
      </c>
      <c r="E6" t="inlineStr">
        <is>
          <t>課題あり</t>
        </is>
      </c>
      <c r="H6" t="inlineStr">
        <is>
          <t>Normal</t>
        </is>
      </c>
      <c r="I6">
        <f>MAX(COUNTA(tblProgressInput[project_id])-I5,0)</f>
        <v/>
      </c>
    </row>
    <row r="7">
      <c r="A7" s="9" t="inlineStr">
        <is>
          <t>Assigned Hours (Base Date)</t>
        </is>
      </c>
      <c r="B7" s="9">
        <f>SUMIFS(tblResourceInput[planned_hours],tblResourceInput[work_date],$B$2)</f>
        <v/>
      </c>
    </row>
    <row r="8">
      <c r="A8" s="9" t="inlineStr">
        <is>
          <t>Average Utilization</t>
        </is>
      </c>
      <c r="B8" s="12">
        <f>AVERAGEIFS(tblGeneralResource[utilization_rate],tblGeneralResource[work_date],$B$2)</f>
        <v/>
      </c>
    </row>
    <row r="9">
      <c r="A9" s="9" t="inlineStr">
        <is>
          <t>Overloaded Rows</t>
        </is>
      </c>
      <c r="B9" s="9">
        <f>COUNTIF(tblGeneralResource[overload_flag],"OVER")</f>
        <v/>
      </c>
    </row>
    <row r="10">
      <c r="A10" s="9" t="inlineStr">
        <is>
          <t>Available Hours</t>
        </is>
      </c>
      <c r="B10" s="9">
        <f>SUMIFS(tblGeneralResource[available_hours],tblGeneralResource[work_date],$B$2)</f>
        <v/>
      </c>
    </row>
    <row r="11">
      <c r="A11" s="9" t="inlineStr">
        <is>
          <t>Issue Projects</t>
        </is>
      </c>
      <c r="B11" s="9">
        <f>COUNTIF(tblProgressInput[issue_flag],"Y")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2026-09-09T06:18:03Z</dcterms:created>
  <dcterms:modified xsi:type="dcterms:W3CDTF">2026-09-09T06:18:03Z</dcterms:modified>
</cp:coreProperties>
</file>